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nees\OneDrive\Desktop\"/>
    </mc:Choice>
  </mc:AlternateContent>
  <xr:revisionPtr revIDLastSave="0" documentId="13_ncr:1_{12FD1816-5CF3-4824-A722-74C10A912E06}" xr6:coauthVersionLast="47" xr6:coauthVersionMax="47" xr10:uidLastSave="{00000000-0000-0000-0000-000000000000}"/>
  <bookViews>
    <workbookView xWindow="-108" yWindow="-108" windowWidth="23256" windowHeight="12456" activeTab="2" xr2:uid="{00000000-000D-0000-FFFF-FFFF00000000}"/>
  </bookViews>
  <sheets>
    <sheet name="Definition" sheetId="1" r:id="rId1"/>
    <sheet name="Data" sheetId="4" r:id="rId2"/>
    <sheet name="Sheet1" sheetId="5"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1" i="5" l="1"/>
  <c r="O22" i="5"/>
  <c r="N5" i="5"/>
  <c r="O20" i="5"/>
  <c r="O19" i="5"/>
  <c r="O6" i="5"/>
  <c r="O7" i="5"/>
  <c r="O8" i="5"/>
  <c r="O9" i="5"/>
  <c r="O10" i="5"/>
  <c r="O11" i="5"/>
  <c r="O12" i="5"/>
  <c r="O13" i="5"/>
  <c r="O14" i="5"/>
  <c r="O15" i="5"/>
  <c r="O16" i="5"/>
  <c r="O17" i="5"/>
  <c r="O18" i="5"/>
  <c r="O5" i="5"/>
  <c r="C4" i="5"/>
  <c r="C5" i="5"/>
  <c r="C6" i="5"/>
  <c r="C7" i="5"/>
  <c r="C8" i="5"/>
  <c r="C9" i="5"/>
  <c r="C10" i="5"/>
  <c r="C11" i="5"/>
  <c r="C12" i="5"/>
  <c r="C13" i="5"/>
  <c r="C14" i="5"/>
  <c r="C15" i="5"/>
  <c r="C16" i="5"/>
  <c r="C17" i="5"/>
  <c r="C18" i="5"/>
  <c r="C3" i="5"/>
  <c r="B19" i="5" l="1"/>
  <c r="D5" i="5" s="1"/>
  <c r="G30" i="4"/>
  <c r="M2" i="4"/>
  <c r="K18" i="4"/>
  <c r="K3" i="4"/>
  <c r="K4" i="4"/>
  <c r="K5" i="4"/>
  <c r="K6" i="4"/>
  <c r="K7" i="4"/>
  <c r="K8" i="4"/>
  <c r="K9" i="4"/>
  <c r="K10" i="4"/>
  <c r="K11" i="4"/>
  <c r="K12" i="4"/>
  <c r="K13" i="4"/>
  <c r="K14" i="4"/>
  <c r="K15" i="4"/>
  <c r="K16" i="4"/>
  <c r="K17" i="4"/>
  <c r="C2" i="4"/>
  <c r="F18" i="4"/>
  <c r="C3" i="4"/>
  <c r="C4" i="4"/>
  <c r="C5" i="4"/>
  <c r="C6" i="4"/>
  <c r="C7" i="4"/>
  <c r="C8" i="4"/>
  <c r="C9" i="4"/>
  <c r="C10" i="4"/>
  <c r="C11" i="4"/>
  <c r="C12" i="4"/>
  <c r="C13" i="4"/>
  <c r="C14" i="4"/>
  <c r="C15" i="4"/>
  <c r="C16" i="4"/>
  <c r="C17" i="4"/>
  <c r="B18" i="4"/>
  <c r="E2" i="4" s="1"/>
  <c r="D12" i="5" l="1"/>
  <c r="D3" i="5"/>
  <c r="D15" i="5"/>
  <c r="D11" i="5"/>
  <c r="D7" i="5"/>
  <c r="D8" i="5"/>
  <c r="D18" i="5"/>
  <c r="D14" i="5"/>
  <c r="D10" i="5"/>
  <c r="D6" i="5"/>
  <c r="D16" i="5"/>
  <c r="D4" i="5"/>
  <c r="E4" i="5" s="1"/>
  <c r="D17" i="5"/>
  <c r="D13" i="5"/>
  <c r="D9" i="5"/>
  <c r="E8" i="4"/>
  <c r="E17" i="4"/>
  <c r="E10" i="4"/>
  <c r="E9" i="4"/>
  <c r="G2" i="4"/>
  <c r="G10" i="4"/>
  <c r="E16" i="4"/>
  <c r="G17" i="4"/>
  <c r="G9" i="4"/>
  <c r="E15" i="4"/>
  <c r="G16" i="4"/>
  <c r="G8" i="4"/>
  <c r="G5" i="4"/>
  <c r="E7" i="4"/>
  <c r="G12" i="4"/>
  <c r="G11" i="4"/>
  <c r="E14" i="4"/>
  <c r="E13" i="4"/>
  <c r="E5" i="4"/>
  <c r="E12" i="4"/>
  <c r="E4" i="4"/>
  <c r="E6" i="4"/>
  <c r="E11" i="4"/>
  <c r="E3" i="4"/>
  <c r="D3" i="4" s="1"/>
  <c r="E5" i="5" l="1"/>
  <c r="D4" i="4"/>
  <c r="G3" i="4"/>
  <c r="I3" i="4" s="1"/>
  <c r="G4" i="4"/>
  <c r="G6" i="4"/>
  <c r="G7" i="4"/>
  <c r="G14" i="4"/>
  <c r="G13" i="4"/>
  <c r="G15" i="4"/>
  <c r="E6" i="5" l="1"/>
  <c r="D5" i="4"/>
  <c r="I4" i="4"/>
  <c r="I5" i="4" s="1"/>
  <c r="I6" i="4" s="1"/>
  <c r="I7" i="4" s="1"/>
  <c r="I8" i="4" s="1"/>
  <c r="I9" i="4" s="1"/>
  <c r="I10" i="4" s="1"/>
  <c r="I11" i="4" s="1"/>
  <c r="I12" i="4" s="1"/>
  <c r="I13" i="4" s="1"/>
  <c r="I14" i="4" s="1"/>
  <c r="I15" i="4" s="1"/>
  <c r="I16" i="4" s="1"/>
  <c r="I17" i="4" s="1"/>
  <c r="E7" i="5" l="1"/>
  <c r="D6" i="4"/>
  <c r="E8" i="5" l="1"/>
  <c r="D7" i="4"/>
  <c r="E9" i="5" l="1"/>
  <c r="D8" i="4"/>
  <c r="E10" i="5" l="1"/>
  <c r="D9" i="4"/>
  <c r="E11" i="5" l="1"/>
  <c r="D10" i="4"/>
  <c r="E12" i="5" l="1"/>
  <c r="D11" i="4"/>
  <c r="E13" i="5" l="1"/>
  <c r="D12" i="4"/>
  <c r="E14" i="5" l="1"/>
  <c r="D13" i="4"/>
  <c r="E15" i="5" l="1"/>
  <c r="D14" i="4"/>
  <c r="E16" i="5" l="1"/>
  <c r="D15" i="4"/>
  <c r="E17" i="5" l="1"/>
  <c r="D16" i="4"/>
  <c r="E18" i="5" l="1"/>
  <c r="D17" i="4"/>
</calcChain>
</file>

<file path=xl/sharedStrings.xml><?xml version="1.0" encoding="utf-8"?>
<sst xmlns="http://schemas.openxmlformats.org/spreadsheetml/2006/main" count="28" uniqueCount="22">
  <si>
    <t>Individual</t>
  </si>
  <si>
    <t>Income</t>
  </si>
  <si>
    <t>Total</t>
  </si>
  <si>
    <r>
      <rPr>
        <b/>
        <sz val="13"/>
        <color rgb="FFFF0000"/>
        <rFont val="Cambria"/>
        <family val="1"/>
      </rPr>
      <t>What is the Gini Coefficient?</t>
    </r>
    <r>
      <rPr>
        <sz val="13"/>
        <color theme="1"/>
        <rFont val="Cambria"/>
        <family val="1"/>
      </rPr>
      <t xml:space="preserve">
Gini Coefficient, also known as the Gini index, is the statistical measure used to measure the distribution of the income among the country's population, i.e., it helps measure the income inequality of the country’s population. t is a value between 0 and 1. A higher number indicates a greater degree of income inequality. A value of 1 indicates the highest degree of income inequality where a single individual earns the country's entire income. A value of 0 indicates that all individuals have the same income. Thus, a value of 0 indicates perfect income equality. One of the limitations of the Gini index is that its use requires that no one has negative net wealth.</t>
    </r>
  </si>
  <si>
    <r>
      <rPr>
        <b/>
        <sz val="12.5"/>
        <color rgb="FFFF0000"/>
        <rFont val="Cambria"/>
        <family val="1"/>
      </rPr>
      <t>What is Lorenz Curve?</t>
    </r>
    <r>
      <rPr>
        <sz val="12.5"/>
        <color theme="1"/>
        <rFont val="Cambria"/>
        <family val="1"/>
      </rPr>
      <t xml:space="preserve">
In economics, the Lorenz curve is a graphical representation of the distribution of income or of wealth. It was developed by Max O. Lorenz in 1905 for representing the inequality of wealth distribution.
The curve is a graph showing the proportion of overall income or wealth assumed by the bottom x% of the people, although this is not rigorously true for a finite population (see below). It is often used to represent income distribution, showing the bottom x% of households and the percentage (y%) of the total income they have. The percentage of households is plotted on the x-axis, the percentage of income on the y-axis. It can also be used to show the distribution of assets. In such use, many economists consider it to be a measure of social inequality.</t>
    </r>
  </si>
  <si>
    <t>POPULATION</t>
  </si>
  <si>
    <t>% POPULATION</t>
  </si>
  <si>
    <t>CUMULATIVE FREQUENCY</t>
  </si>
  <si>
    <t>% OF INCOME</t>
  </si>
  <si>
    <t>CUMULATIVE INCOME</t>
  </si>
  <si>
    <t>X</t>
  </si>
  <si>
    <t>Y</t>
  </si>
  <si>
    <t>Area under lorenz curve(B)</t>
  </si>
  <si>
    <t>Area under A (50-B)</t>
  </si>
  <si>
    <t>GINI COEFFICIENT</t>
  </si>
  <si>
    <t>% of income</t>
  </si>
  <si>
    <t>B</t>
  </si>
  <si>
    <t>A</t>
  </si>
  <si>
    <t>cf of income</t>
  </si>
  <si>
    <t>cf of pop</t>
  </si>
  <si>
    <t>total area under b</t>
  </si>
  <si>
    <t>GINI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</si>
</sst>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mbria"/>
      <family val="1"/>
    </font>
    <font>
      <b/>
      <sz val="12"/>
      <color theme="1"/>
      <name val="Cambria"/>
      <family val="1"/>
    </font>
    <font>
      <b/>
      <sz val="11"/>
      <color theme="1"/>
      <name val="Cambria"/>
      <family val="1"/>
    </font>
    <font>
      <sz val="13"/>
      <color theme="1"/>
      <name val="Cambria"/>
      <family val="1"/>
    </font>
    <font>
      <b/>
      <sz val="13"/>
      <color rgb="FFFF0000"/>
      <name val="Cambria"/>
      <family val="1"/>
    </font>
    <font>
      <sz val="12.5"/>
      <color theme="1"/>
      <name val="Cambria"/>
      <family val="1"/>
    </font>
    <font>
      <b/>
      <sz val="12.5"/>
      <color rgb="FFFF0000"/>
      <name val="Cambria"/>
      <family val="1"/>
    </font>
    <font>
      <b/>
      <sz val="11"/>
      <color theme="1"/>
      <name val="Calibri"/>
      <family val="2"/>
      <scheme val="minor"/>
    </font>
    <font>
      <b/>
      <sz val="11"/>
      <color theme="4"/>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2" fillId="2" borderId="1" xfId="0" applyFont="1" applyFill="1" applyBorder="1"/>
    <xf numFmtId="0" fontId="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xf numFmtId="0" fontId="0" fillId="0" borderId="0" xfId="0" applyAlignment="1">
      <alignment horizontal="center"/>
    </xf>
    <xf numFmtId="0" fontId="0" fillId="0" borderId="0" xfId="0" applyAlignment="1">
      <alignment horizontal="center" wrapText="1"/>
    </xf>
    <xf numFmtId="0" fontId="8" fillId="0" borderId="0" xfId="0" applyFont="1" applyAlignment="1">
      <alignment horizontal="center" wrapText="1"/>
    </xf>
    <xf numFmtId="0" fontId="8" fillId="0" borderId="0" xfId="0" applyFont="1" applyAlignment="1">
      <alignment horizontal="center"/>
    </xf>
    <xf numFmtId="0" fontId="8" fillId="0" borderId="0" xfId="0" applyFont="1"/>
    <xf numFmtId="0" fontId="9" fillId="0" borderId="0" xfId="0" applyFont="1"/>
    <xf numFmtId="0" fontId="6" fillId="0" borderId="2" xfId="0" applyFont="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0" xfId="0" applyFont="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LORENZ CURVE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522069937016437"/>
          <c:y val="0.23232852774137178"/>
          <c:w val="0.8162746785526197"/>
          <c:h val="0.46938215291895852"/>
        </c:manualLayout>
      </c:layout>
      <c:scatterChart>
        <c:scatterStyle val="smoothMarker"/>
        <c:varyColors val="0"/>
        <c:ser>
          <c:idx val="0"/>
          <c:order val="0"/>
          <c:tx>
            <c:v>LORENZ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Data!$C$2:$C$17</c:f>
              <c:numCache>
                <c:formatCode>General</c:formatCode>
                <c:ptCount val="16"/>
                <c:pt idx="0">
                  <c:v>0</c:v>
                </c:pt>
                <c:pt idx="1">
                  <c:v>6.666666666666667</c:v>
                </c:pt>
                <c:pt idx="2">
                  <c:v>13.333333333333334</c:v>
                </c:pt>
                <c:pt idx="3">
                  <c:v>20</c:v>
                </c:pt>
                <c:pt idx="4">
                  <c:v>26.666666666666668</c:v>
                </c:pt>
                <c:pt idx="5">
                  <c:v>33.333333333333329</c:v>
                </c:pt>
                <c:pt idx="6">
                  <c:v>40</c:v>
                </c:pt>
                <c:pt idx="7">
                  <c:v>46.666666666666664</c:v>
                </c:pt>
                <c:pt idx="8">
                  <c:v>53.333333333333336</c:v>
                </c:pt>
                <c:pt idx="9">
                  <c:v>60</c:v>
                </c:pt>
                <c:pt idx="10">
                  <c:v>66.666666666666657</c:v>
                </c:pt>
                <c:pt idx="11">
                  <c:v>73.333333333333329</c:v>
                </c:pt>
                <c:pt idx="12">
                  <c:v>80</c:v>
                </c:pt>
                <c:pt idx="13">
                  <c:v>86.666666666666671</c:v>
                </c:pt>
                <c:pt idx="14">
                  <c:v>93.333333333333329</c:v>
                </c:pt>
                <c:pt idx="15">
                  <c:v>100</c:v>
                </c:pt>
              </c:numCache>
            </c:numRef>
          </c:xVal>
          <c:yVal>
            <c:numRef>
              <c:f>Data!$D$2:$D$17</c:f>
              <c:numCache>
                <c:formatCode>General</c:formatCode>
                <c:ptCount val="16"/>
                <c:pt idx="0">
                  <c:v>0</c:v>
                </c:pt>
                <c:pt idx="1">
                  <c:v>2.6172186817069498</c:v>
                </c:pt>
                <c:pt idx="2">
                  <c:v>6.3035711948911892</c:v>
                </c:pt>
                <c:pt idx="3">
                  <c:v>10.883703887878351</c:v>
                </c:pt>
                <c:pt idx="4">
                  <c:v>16.118141251292251</c:v>
                </c:pt>
                <c:pt idx="5">
                  <c:v>22.006883285132886</c:v>
                </c:pt>
                <c:pt idx="6">
                  <c:v>28.222777654186892</c:v>
                </c:pt>
                <c:pt idx="7">
                  <c:v>34.504102490283572</c:v>
                </c:pt>
                <c:pt idx="8">
                  <c:v>41.047149194550947</c:v>
                </c:pt>
                <c:pt idx="9">
                  <c:v>47.917348234031692</c:v>
                </c:pt>
                <c:pt idx="10">
                  <c:v>55.114699608725807</c:v>
                </c:pt>
                <c:pt idx="11">
                  <c:v>62.704633785675966</c:v>
                </c:pt>
                <c:pt idx="12">
                  <c:v>70.45814413023281</c:v>
                </c:pt>
                <c:pt idx="13">
                  <c:v>78.47337634296035</c:v>
                </c:pt>
                <c:pt idx="14">
                  <c:v>86.913906591465263</c:v>
                </c:pt>
                <c:pt idx="15">
                  <c:v>100.00000000000001</c:v>
                </c:pt>
              </c:numCache>
            </c:numRef>
          </c:yVal>
          <c:smooth val="1"/>
          <c:extLst>
            <c:ext xmlns:c16="http://schemas.microsoft.com/office/drawing/2014/chart" uri="{C3380CC4-5D6E-409C-BE32-E72D297353CC}">
              <c16:uniqueId val="{00000000-D537-463F-9103-5523EFFA20EF}"/>
            </c:ext>
          </c:extLst>
        </c:ser>
        <c:ser>
          <c:idx val="1"/>
          <c:order val="1"/>
          <c:tx>
            <c:v>LINE OF EQUALITY+Data!$I$24:$I$25</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Data!$I$24:$I$25</c:f>
              <c:numCache>
                <c:formatCode>General</c:formatCode>
                <c:ptCount val="2"/>
                <c:pt idx="0">
                  <c:v>0</c:v>
                </c:pt>
                <c:pt idx="1">
                  <c:v>100</c:v>
                </c:pt>
              </c:numCache>
            </c:numRef>
          </c:xVal>
          <c:yVal>
            <c:numRef>
              <c:f>Data!$J$24:$J$25</c:f>
              <c:numCache>
                <c:formatCode>General</c:formatCode>
                <c:ptCount val="2"/>
                <c:pt idx="0">
                  <c:v>0</c:v>
                </c:pt>
                <c:pt idx="1">
                  <c:v>100</c:v>
                </c:pt>
              </c:numCache>
            </c:numRef>
          </c:yVal>
          <c:smooth val="1"/>
          <c:extLst>
            <c:ext xmlns:c16="http://schemas.microsoft.com/office/drawing/2014/chart" uri="{C3380CC4-5D6E-409C-BE32-E72D297353CC}">
              <c16:uniqueId val="{00000001-D537-463F-9103-5523EFFA20EF}"/>
            </c:ext>
          </c:extLst>
        </c:ser>
        <c:dLbls>
          <c:showLegendKey val="0"/>
          <c:showVal val="0"/>
          <c:showCatName val="0"/>
          <c:showSerName val="0"/>
          <c:showPercent val="0"/>
          <c:showBubbleSize val="0"/>
        </c:dLbls>
        <c:axId val="533366207"/>
        <c:axId val="533367647"/>
      </c:scatterChart>
      <c:valAx>
        <c:axId val="533366207"/>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Cumulative % of Individual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67647"/>
        <c:crosses val="autoZero"/>
        <c:crossBetween val="midCat"/>
        <c:majorUnit val="10"/>
      </c:valAx>
      <c:valAx>
        <c:axId val="533367647"/>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Cumulative % of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66207"/>
        <c:crosses val="autoZero"/>
        <c:crossBetween val="midCat"/>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strRef>
              <c:f>Sheet1!$E$2</c:f>
              <c:strCache>
                <c:ptCount val="1"/>
                <c:pt idx="0">
                  <c:v>cf of income</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Sheet1!$C$3:$C$18</c:f>
              <c:numCache>
                <c:formatCode>General</c:formatCode>
                <c:ptCount val="16"/>
                <c:pt idx="0">
                  <c:v>0</c:v>
                </c:pt>
                <c:pt idx="1">
                  <c:v>6.666666666666667</c:v>
                </c:pt>
                <c:pt idx="2">
                  <c:v>13.333333333333334</c:v>
                </c:pt>
                <c:pt idx="3">
                  <c:v>20</c:v>
                </c:pt>
                <c:pt idx="4">
                  <c:v>26.666666666666668</c:v>
                </c:pt>
                <c:pt idx="5">
                  <c:v>33.333333333333329</c:v>
                </c:pt>
                <c:pt idx="6">
                  <c:v>40</c:v>
                </c:pt>
                <c:pt idx="7">
                  <c:v>46.666666666666664</c:v>
                </c:pt>
                <c:pt idx="8">
                  <c:v>53.333333333333336</c:v>
                </c:pt>
                <c:pt idx="9">
                  <c:v>60</c:v>
                </c:pt>
                <c:pt idx="10">
                  <c:v>66.666666666666657</c:v>
                </c:pt>
                <c:pt idx="11">
                  <c:v>73.333333333333329</c:v>
                </c:pt>
                <c:pt idx="12">
                  <c:v>80</c:v>
                </c:pt>
                <c:pt idx="13">
                  <c:v>86.666666666666671</c:v>
                </c:pt>
                <c:pt idx="14">
                  <c:v>93.333333333333329</c:v>
                </c:pt>
                <c:pt idx="15">
                  <c:v>100</c:v>
                </c:pt>
              </c:numCache>
            </c:numRef>
          </c:xVal>
          <c:yVal>
            <c:numRef>
              <c:f>Sheet1!$E$3:$E$18</c:f>
              <c:numCache>
                <c:formatCode>General</c:formatCode>
                <c:ptCount val="16"/>
                <c:pt idx="0">
                  <c:v>0</c:v>
                </c:pt>
                <c:pt idx="1">
                  <c:v>2.6172186817069498</c:v>
                </c:pt>
                <c:pt idx="2">
                  <c:v>6.3035711948911892</c:v>
                </c:pt>
                <c:pt idx="3">
                  <c:v>10.883703887878351</c:v>
                </c:pt>
                <c:pt idx="4">
                  <c:v>16.118141251292251</c:v>
                </c:pt>
                <c:pt idx="5">
                  <c:v>22.006883285132886</c:v>
                </c:pt>
                <c:pt idx="6">
                  <c:v>28.222777654186892</c:v>
                </c:pt>
                <c:pt idx="7">
                  <c:v>34.504102490283572</c:v>
                </c:pt>
                <c:pt idx="8">
                  <c:v>41.047149194550947</c:v>
                </c:pt>
                <c:pt idx="9">
                  <c:v>47.917348234031692</c:v>
                </c:pt>
                <c:pt idx="10">
                  <c:v>55.114699608725807</c:v>
                </c:pt>
                <c:pt idx="11">
                  <c:v>62.704633785675966</c:v>
                </c:pt>
                <c:pt idx="12">
                  <c:v>70.45814413023281</c:v>
                </c:pt>
                <c:pt idx="13">
                  <c:v>78.47337634296035</c:v>
                </c:pt>
                <c:pt idx="14">
                  <c:v>86.913906591465263</c:v>
                </c:pt>
                <c:pt idx="15">
                  <c:v>100.00000000000001</c:v>
                </c:pt>
              </c:numCache>
            </c:numRef>
          </c:yVal>
          <c:smooth val="1"/>
          <c:extLst>
            <c:ext xmlns:c16="http://schemas.microsoft.com/office/drawing/2014/chart" uri="{C3380CC4-5D6E-409C-BE32-E72D297353CC}">
              <c16:uniqueId val="{00000000-5708-4F41-A438-2CEDAA8C8594}"/>
            </c:ext>
          </c:extLst>
        </c:ser>
        <c:ser>
          <c:idx val="2"/>
          <c:order val="2"/>
          <c:tx>
            <c:v>line of equality</c:v>
          </c:tx>
          <c:spPr>
            <a:ln w="9525" cap="rnd">
              <a:solidFill>
                <a:schemeClr val="accent3"/>
              </a:solidFill>
              <a:round/>
            </a:ln>
            <a:effectLst/>
          </c:spPr>
          <c:marker>
            <c:symbol val="circ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xVal>
            <c:numRef>
              <c:f>Sheet1!$D$22:$D$23</c:f>
              <c:numCache>
                <c:formatCode>General</c:formatCode>
                <c:ptCount val="2"/>
                <c:pt idx="0">
                  <c:v>0</c:v>
                </c:pt>
                <c:pt idx="1">
                  <c:v>100</c:v>
                </c:pt>
              </c:numCache>
            </c:numRef>
          </c:xVal>
          <c:yVal>
            <c:numRef>
              <c:f>Sheet1!$E$22:$E$23</c:f>
              <c:numCache>
                <c:formatCode>General</c:formatCode>
                <c:ptCount val="2"/>
                <c:pt idx="0">
                  <c:v>0</c:v>
                </c:pt>
                <c:pt idx="1">
                  <c:v>100</c:v>
                </c:pt>
              </c:numCache>
            </c:numRef>
          </c:yVal>
          <c:smooth val="1"/>
          <c:extLst>
            <c:ext xmlns:c16="http://schemas.microsoft.com/office/drawing/2014/chart" uri="{C3380CC4-5D6E-409C-BE32-E72D297353CC}">
              <c16:uniqueId val="{00000003-5708-4F41-A438-2CEDAA8C8594}"/>
            </c:ext>
          </c:extLst>
        </c:ser>
        <c:dLbls>
          <c:showLegendKey val="0"/>
          <c:showVal val="0"/>
          <c:showCatName val="0"/>
          <c:showSerName val="0"/>
          <c:showPercent val="0"/>
          <c:showBubbleSize val="0"/>
        </c:dLbls>
        <c:axId val="104773312"/>
        <c:axId val="104778592"/>
        <c:extLst>
          <c:ext xmlns:c15="http://schemas.microsoft.com/office/drawing/2012/chart" uri="{02D57815-91ED-43cb-92C2-25804820EDAC}">
            <c15:filteredScatterSeries>
              <c15:ser>
                <c:idx val="1"/>
                <c:order val="1"/>
                <c:tx>
                  <c:v>line of equality</c:v>
                </c:tx>
                <c:spPr>
                  <a:ln w="9525" cap="rnd">
                    <a:solidFill>
                      <a:schemeClr val="accent2"/>
                    </a:solid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strRef>
                    <c:extLst>
                      <c:ext uri="{02D57815-91ED-43cb-92C2-25804820EDAC}">
                        <c15:formulaRef>
                          <c15:sqref>Sheet1!$D$21:$D$23</c15:sqref>
                        </c15:formulaRef>
                      </c:ext>
                    </c:extLst>
                    <c:strCache>
                      <c:ptCount val="3"/>
                      <c:pt idx="0">
                        <c:v>X</c:v>
                      </c:pt>
                      <c:pt idx="1">
                        <c:v>0</c:v>
                      </c:pt>
                      <c:pt idx="2">
                        <c:v>100</c:v>
                      </c:pt>
                    </c:strCache>
                  </c:strRef>
                </c:xVal>
                <c:yVal>
                  <c:numRef>
                    <c:extLst>
                      <c:ext uri="{02D57815-91ED-43cb-92C2-25804820EDAC}">
                        <c15:formulaRef>
                          <c15:sqref>Sheet1!$E$21:$E$23</c15:sqref>
                        </c15:formulaRef>
                      </c:ext>
                    </c:extLst>
                    <c:numCache>
                      <c:formatCode>General</c:formatCode>
                      <c:ptCount val="3"/>
                      <c:pt idx="0">
                        <c:v>0</c:v>
                      </c:pt>
                      <c:pt idx="1">
                        <c:v>0</c:v>
                      </c:pt>
                      <c:pt idx="2">
                        <c:v>100</c:v>
                      </c:pt>
                    </c:numCache>
                  </c:numRef>
                </c:yVal>
                <c:smooth val="1"/>
                <c:extLst>
                  <c:ext xmlns:c16="http://schemas.microsoft.com/office/drawing/2014/chart" uri="{C3380CC4-5D6E-409C-BE32-E72D297353CC}">
                    <c16:uniqueId val="{00000002-5708-4F41-A438-2CEDAA8C8594}"/>
                  </c:ext>
                </c:extLst>
              </c15:ser>
            </c15:filteredScatterSeries>
          </c:ext>
        </c:extLst>
      </c:scatterChart>
      <c:valAx>
        <c:axId val="104773312"/>
        <c:scaling>
          <c:orientation val="minMax"/>
          <c:max val="100"/>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778592"/>
        <c:crosses val="autoZero"/>
        <c:crossBetween val="midCat"/>
        <c:majorUnit val="10"/>
      </c:valAx>
      <c:valAx>
        <c:axId val="104778592"/>
        <c:scaling>
          <c:orientation val="minMax"/>
          <c:max val="10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7733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20</xdr:row>
      <xdr:rowOff>0</xdr:rowOff>
    </xdr:from>
    <xdr:to>
      <xdr:col>8</xdr:col>
      <xdr:colOff>285750</xdr:colOff>
      <xdr:row>39</xdr:row>
      <xdr:rowOff>152400</xdr:rowOff>
    </xdr:to>
    <xdr:pic>
      <xdr:nvPicPr>
        <xdr:cNvPr id="2" name="Picture 1" descr="Gini Coefficient">
          <a:extLst>
            <a:ext uri="{FF2B5EF4-FFF2-40B4-BE49-F238E27FC236}">
              <a16:creationId xmlns:a16="http://schemas.microsoft.com/office/drawing/2014/main" id="{43E9D486-46D5-F4A3-126B-4C043B3DB2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810000"/>
          <a:ext cx="3333750" cy="3771900"/>
        </a:xfrm>
        <a:prstGeom prst="rect">
          <a:avLst/>
        </a:prstGeom>
        <a:solidFill>
          <a:schemeClr val="accent2"/>
        </a:solidFill>
        <a:ln w="19050">
          <a:solidFill>
            <a:srgbClr val="00B050"/>
          </a:solidFill>
        </a:ln>
      </xdr:spPr>
    </xdr:pic>
    <xdr:clientData/>
  </xdr:twoCellAnchor>
  <xdr:twoCellAnchor editAs="oneCell">
    <xdr:from>
      <xdr:col>9</xdr:col>
      <xdr:colOff>0</xdr:colOff>
      <xdr:row>24</xdr:row>
      <xdr:rowOff>66675</xdr:rowOff>
    </xdr:from>
    <xdr:to>
      <xdr:col>12</xdr:col>
      <xdr:colOff>276225</xdr:colOff>
      <xdr:row>26</xdr:row>
      <xdr:rowOff>171450</xdr:rowOff>
    </xdr:to>
    <xdr:pic>
      <xdr:nvPicPr>
        <xdr:cNvPr id="3" name="Picture 2" descr="\text{Gini Coefficient} = \frac{A}{A+B}">
          <a:extLst>
            <a:ext uri="{FF2B5EF4-FFF2-40B4-BE49-F238E27FC236}">
              <a16:creationId xmlns:a16="http://schemas.microsoft.com/office/drawing/2014/main" id="{E19347F2-A546-F717-30E8-0D10F29327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4638675"/>
          <a:ext cx="2105025" cy="485775"/>
        </a:xfrm>
        <a:prstGeom prst="rect">
          <a:avLst/>
        </a:prstGeom>
        <a:noFill/>
        <a:ln w="22225">
          <a:solidFill>
            <a:srgbClr val="00B05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495300</xdr:colOff>
      <xdr:row>21</xdr:row>
      <xdr:rowOff>167640</xdr:rowOff>
    </xdr:from>
    <xdr:to>
      <xdr:col>4</xdr:col>
      <xdr:colOff>1478280</xdr:colOff>
      <xdr:row>37</xdr:row>
      <xdr:rowOff>148590</xdr:rowOff>
    </xdr:to>
    <xdr:graphicFrame macro="">
      <xdr:nvGraphicFramePr>
        <xdr:cNvPr id="2" name="Chart 1">
          <a:extLst>
            <a:ext uri="{FF2B5EF4-FFF2-40B4-BE49-F238E27FC236}">
              <a16:creationId xmlns:a16="http://schemas.microsoft.com/office/drawing/2014/main" id="{B2951216-BF26-363E-B78A-360E739CF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657678</xdr:colOff>
      <xdr:row>29</xdr:row>
      <xdr:rowOff>27215</xdr:rowOff>
    </xdr:from>
    <xdr:ext cx="266291" cy="264560"/>
    <xdr:sp macro="" textlink="">
      <xdr:nvSpPr>
        <xdr:cNvPr id="3" name="TextBox 2">
          <a:extLst>
            <a:ext uri="{FF2B5EF4-FFF2-40B4-BE49-F238E27FC236}">
              <a16:creationId xmlns:a16="http://schemas.microsoft.com/office/drawing/2014/main" id="{45E75FBD-22FA-8D7E-9B88-AEC21AC4FEF8}"/>
            </a:ext>
          </a:extLst>
        </xdr:cNvPr>
        <xdr:cNvSpPr txBox="1"/>
      </xdr:nvSpPr>
      <xdr:spPr>
        <a:xfrm>
          <a:off x="3601357" y="5324929"/>
          <a:ext cx="2662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a:t>
          </a:r>
        </a:p>
      </xdr:txBody>
    </xdr:sp>
    <xdr:clientData/>
  </xdr:oneCellAnchor>
  <xdr:oneCellAnchor>
    <xdr:from>
      <xdr:col>3</xdr:col>
      <xdr:colOff>877586</xdr:colOff>
      <xdr:row>30</xdr:row>
      <xdr:rowOff>77055</xdr:rowOff>
    </xdr:from>
    <xdr:ext cx="756617" cy="264560"/>
    <xdr:sp macro="" textlink="">
      <xdr:nvSpPr>
        <xdr:cNvPr id="5" name="TextBox 4">
          <a:extLst>
            <a:ext uri="{FF2B5EF4-FFF2-40B4-BE49-F238E27FC236}">
              <a16:creationId xmlns:a16="http://schemas.microsoft.com/office/drawing/2014/main" id="{8E35501B-797E-F3FD-4982-82644F5C758C}"/>
            </a:ext>
          </a:extLst>
        </xdr:cNvPr>
        <xdr:cNvSpPr txBox="1"/>
      </xdr:nvSpPr>
      <xdr:spPr>
        <a:xfrm>
          <a:off x="3826526" y="5578695"/>
          <a:ext cx="7566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B= 40.886</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267831</xdr:colOff>
      <xdr:row>1</xdr:row>
      <xdr:rowOff>235390</xdr:rowOff>
    </xdr:from>
    <xdr:to>
      <xdr:col>11</xdr:col>
      <xdr:colOff>546980</xdr:colOff>
      <xdr:row>16</xdr:row>
      <xdr:rowOff>96570</xdr:rowOff>
    </xdr:to>
    <xdr:graphicFrame macro="">
      <xdr:nvGraphicFramePr>
        <xdr:cNvPr id="6" name="Chart 5">
          <a:extLst>
            <a:ext uri="{FF2B5EF4-FFF2-40B4-BE49-F238E27FC236}">
              <a16:creationId xmlns:a16="http://schemas.microsoft.com/office/drawing/2014/main" id="{D9AC50F6-C35D-DF2F-91B4-2914F991B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19"/>
  <sheetViews>
    <sheetView topLeftCell="A13" workbookViewId="0">
      <selection activeCell="B10" sqref="B10"/>
    </sheetView>
  </sheetViews>
  <sheetFormatPr defaultRowHeight="14.4" x14ac:dyDescent="0.3"/>
  <cols>
    <col min="1" max="1" width="2.5546875" customWidth="1"/>
  </cols>
  <sheetData>
    <row r="1" spans="2:15" ht="15" customHeight="1" x14ac:dyDescent="0.3">
      <c r="B1" s="11" t="s">
        <v>4</v>
      </c>
      <c r="C1" s="12"/>
      <c r="D1" s="12"/>
      <c r="E1" s="12"/>
      <c r="F1" s="12"/>
      <c r="G1" s="12"/>
      <c r="H1" s="12"/>
      <c r="I1" s="12"/>
      <c r="J1" s="12"/>
      <c r="K1" s="12"/>
      <c r="L1" s="12"/>
      <c r="M1" s="12"/>
      <c r="N1" s="12"/>
      <c r="O1" s="13"/>
    </row>
    <row r="2" spans="2:15" x14ac:dyDescent="0.3">
      <c r="B2" s="14"/>
      <c r="C2" s="15"/>
      <c r="D2" s="15"/>
      <c r="E2" s="15"/>
      <c r="F2" s="15"/>
      <c r="G2" s="15"/>
      <c r="H2" s="15"/>
      <c r="I2" s="15"/>
      <c r="J2" s="15"/>
      <c r="K2" s="15"/>
      <c r="L2" s="15"/>
      <c r="M2" s="15"/>
      <c r="N2" s="15"/>
      <c r="O2" s="16"/>
    </row>
    <row r="3" spans="2:15" x14ac:dyDescent="0.3">
      <c r="B3" s="14"/>
      <c r="C3" s="15"/>
      <c r="D3" s="15"/>
      <c r="E3" s="15"/>
      <c r="F3" s="15"/>
      <c r="G3" s="15"/>
      <c r="H3" s="15"/>
      <c r="I3" s="15"/>
      <c r="J3" s="15"/>
      <c r="K3" s="15"/>
      <c r="L3" s="15"/>
      <c r="M3" s="15"/>
      <c r="N3" s="15"/>
      <c r="O3" s="16"/>
    </row>
    <row r="4" spans="2:15" x14ac:dyDescent="0.3">
      <c r="B4" s="14"/>
      <c r="C4" s="15"/>
      <c r="D4" s="15"/>
      <c r="E4" s="15"/>
      <c r="F4" s="15"/>
      <c r="G4" s="15"/>
      <c r="H4" s="15"/>
      <c r="I4" s="15"/>
      <c r="J4" s="15"/>
      <c r="K4" s="15"/>
      <c r="L4" s="15"/>
      <c r="M4" s="15"/>
      <c r="N4" s="15"/>
      <c r="O4" s="16"/>
    </row>
    <row r="5" spans="2:15" x14ac:dyDescent="0.3">
      <c r="B5" s="14"/>
      <c r="C5" s="15"/>
      <c r="D5" s="15"/>
      <c r="E5" s="15"/>
      <c r="F5" s="15"/>
      <c r="G5" s="15"/>
      <c r="H5" s="15"/>
      <c r="I5" s="15"/>
      <c r="J5" s="15"/>
      <c r="K5" s="15"/>
      <c r="L5" s="15"/>
      <c r="M5" s="15"/>
      <c r="N5" s="15"/>
      <c r="O5" s="16"/>
    </row>
    <row r="6" spans="2:15" x14ac:dyDescent="0.3">
      <c r="B6" s="14"/>
      <c r="C6" s="15"/>
      <c r="D6" s="15"/>
      <c r="E6" s="15"/>
      <c r="F6" s="15"/>
      <c r="G6" s="15"/>
      <c r="H6" s="15"/>
      <c r="I6" s="15"/>
      <c r="J6" s="15"/>
      <c r="K6" s="15"/>
      <c r="L6" s="15"/>
      <c r="M6" s="15"/>
      <c r="N6" s="15"/>
      <c r="O6" s="16"/>
    </row>
    <row r="7" spans="2:15" x14ac:dyDescent="0.3">
      <c r="B7" s="14"/>
      <c r="C7" s="15"/>
      <c r="D7" s="15"/>
      <c r="E7" s="15"/>
      <c r="F7" s="15"/>
      <c r="G7" s="15"/>
      <c r="H7" s="15"/>
      <c r="I7" s="15"/>
      <c r="J7" s="15"/>
      <c r="K7" s="15"/>
      <c r="L7" s="15"/>
      <c r="M7" s="15"/>
      <c r="N7" s="15"/>
      <c r="O7" s="16"/>
    </row>
    <row r="8" spans="2:15" x14ac:dyDescent="0.3">
      <c r="B8" s="14"/>
      <c r="C8" s="15"/>
      <c r="D8" s="15"/>
      <c r="E8" s="15"/>
      <c r="F8" s="15"/>
      <c r="G8" s="15"/>
      <c r="H8" s="15"/>
      <c r="I8" s="15"/>
      <c r="J8" s="15"/>
      <c r="K8" s="15"/>
      <c r="L8" s="15"/>
      <c r="M8" s="15"/>
      <c r="N8" s="15"/>
      <c r="O8" s="16"/>
    </row>
    <row r="9" spans="2:15" x14ac:dyDescent="0.3">
      <c r="B9" s="17"/>
      <c r="C9" s="18"/>
      <c r="D9" s="18"/>
      <c r="E9" s="18"/>
      <c r="F9" s="18"/>
      <c r="G9" s="18"/>
      <c r="H9" s="18"/>
      <c r="I9" s="18"/>
      <c r="J9" s="18"/>
      <c r="K9" s="18"/>
      <c r="L9" s="18"/>
      <c r="M9" s="18"/>
      <c r="N9" s="18"/>
      <c r="O9" s="19"/>
    </row>
    <row r="11" spans="2:15" ht="15" customHeight="1" x14ac:dyDescent="0.3">
      <c r="B11" s="20" t="s">
        <v>3</v>
      </c>
      <c r="C11" s="21"/>
      <c r="D11" s="21"/>
      <c r="E11" s="21"/>
      <c r="F11" s="21"/>
      <c r="G11" s="21"/>
      <c r="H11" s="21"/>
      <c r="I11" s="21"/>
      <c r="J11" s="21"/>
      <c r="K11" s="21"/>
      <c r="L11" s="21"/>
      <c r="M11" s="21"/>
      <c r="N11" s="21"/>
      <c r="O11" s="22"/>
    </row>
    <row r="12" spans="2:15" x14ac:dyDescent="0.3">
      <c r="B12" s="23"/>
      <c r="C12" s="24"/>
      <c r="D12" s="24"/>
      <c r="E12" s="24"/>
      <c r="F12" s="24"/>
      <c r="G12" s="24"/>
      <c r="H12" s="24"/>
      <c r="I12" s="24"/>
      <c r="J12" s="24"/>
      <c r="K12" s="24"/>
      <c r="L12" s="24"/>
      <c r="M12" s="24"/>
      <c r="N12" s="24"/>
      <c r="O12" s="25"/>
    </row>
    <row r="13" spans="2:15" x14ac:dyDescent="0.3">
      <c r="B13" s="23"/>
      <c r="C13" s="24"/>
      <c r="D13" s="24"/>
      <c r="E13" s="24"/>
      <c r="F13" s="24"/>
      <c r="G13" s="24"/>
      <c r="H13" s="24"/>
      <c r="I13" s="24"/>
      <c r="J13" s="24"/>
      <c r="K13" s="24"/>
      <c r="L13" s="24"/>
      <c r="M13" s="24"/>
      <c r="N13" s="24"/>
      <c r="O13" s="25"/>
    </row>
    <row r="14" spans="2:15" x14ac:dyDescent="0.3">
      <c r="B14" s="23"/>
      <c r="C14" s="24"/>
      <c r="D14" s="24"/>
      <c r="E14" s="24"/>
      <c r="F14" s="24"/>
      <c r="G14" s="24"/>
      <c r="H14" s="24"/>
      <c r="I14" s="24"/>
      <c r="J14" s="24"/>
      <c r="K14" s="24"/>
      <c r="L14" s="24"/>
      <c r="M14" s="24"/>
      <c r="N14" s="24"/>
      <c r="O14" s="25"/>
    </row>
    <row r="15" spans="2:15" x14ac:dyDescent="0.3">
      <c r="B15" s="23"/>
      <c r="C15" s="24"/>
      <c r="D15" s="24"/>
      <c r="E15" s="24"/>
      <c r="F15" s="24"/>
      <c r="G15" s="24"/>
      <c r="H15" s="24"/>
      <c r="I15" s="24"/>
      <c r="J15" s="24"/>
      <c r="K15" s="24"/>
      <c r="L15" s="24"/>
      <c r="M15" s="24"/>
      <c r="N15" s="24"/>
      <c r="O15" s="25"/>
    </row>
    <row r="16" spans="2:15" x14ac:dyDescent="0.3">
      <c r="B16" s="23"/>
      <c r="C16" s="24"/>
      <c r="D16" s="24"/>
      <c r="E16" s="24"/>
      <c r="F16" s="24"/>
      <c r="G16" s="24"/>
      <c r="H16" s="24"/>
      <c r="I16" s="24"/>
      <c r="J16" s="24"/>
      <c r="K16" s="24"/>
      <c r="L16" s="24"/>
      <c r="M16" s="24"/>
      <c r="N16" s="24"/>
      <c r="O16" s="25"/>
    </row>
    <row r="17" spans="2:15" x14ac:dyDescent="0.3">
      <c r="B17" s="23"/>
      <c r="C17" s="24"/>
      <c r="D17" s="24"/>
      <c r="E17" s="24"/>
      <c r="F17" s="24"/>
      <c r="G17" s="24"/>
      <c r="H17" s="24"/>
      <c r="I17" s="24"/>
      <c r="J17" s="24"/>
      <c r="K17" s="24"/>
      <c r="L17" s="24"/>
      <c r="M17" s="24"/>
      <c r="N17" s="24"/>
      <c r="O17" s="25"/>
    </row>
    <row r="18" spans="2:15" x14ac:dyDescent="0.3">
      <c r="B18" s="23"/>
      <c r="C18" s="24"/>
      <c r="D18" s="24"/>
      <c r="E18" s="24"/>
      <c r="F18" s="24"/>
      <c r="G18" s="24"/>
      <c r="H18" s="24"/>
      <c r="I18" s="24"/>
      <c r="J18" s="24"/>
      <c r="K18" s="24"/>
      <c r="L18" s="24"/>
      <c r="M18" s="24"/>
      <c r="N18" s="24"/>
      <c r="O18" s="25"/>
    </row>
    <row r="19" spans="2:15" x14ac:dyDescent="0.3">
      <c r="B19" s="26"/>
      <c r="C19" s="27"/>
      <c r="D19" s="27"/>
      <c r="E19" s="27"/>
      <c r="F19" s="27"/>
      <c r="G19" s="27"/>
      <c r="H19" s="27"/>
      <c r="I19" s="27"/>
      <c r="J19" s="27"/>
      <c r="K19" s="27"/>
      <c r="L19" s="27"/>
      <c r="M19" s="27"/>
      <c r="N19" s="27"/>
      <c r="O19" s="28"/>
    </row>
  </sheetData>
  <mergeCells count="2">
    <mergeCell ref="B1:O9"/>
    <mergeCell ref="B11:O1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8F51-5F77-4441-892E-CD8E2F2926DC}">
  <dimension ref="A1:M30"/>
  <sheetViews>
    <sheetView zoomScaleNormal="130" workbookViewId="0">
      <selection activeCell="F22" sqref="F22"/>
    </sheetView>
  </sheetViews>
  <sheetFormatPr defaultRowHeight="14.4" x14ac:dyDescent="0.3"/>
  <cols>
    <col min="1" max="1" width="12" customWidth="1"/>
    <col min="3" max="3" width="22.109375" customWidth="1"/>
    <col min="4" max="5" width="22.77734375" customWidth="1"/>
    <col min="6" max="6" width="16.6640625" customWidth="1"/>
    <col min="7" max="7" width="16.88671875" customWidth="1"/>
    <col min="8" max="8" width="17.77734375" customWidth="1"/>
    <col min="9" max="9" width="23" customWidth="1"/>
    <col min="11" max="11" width="15.44140625" customWidth="1"/>
    <col min="13" max="13" width="17.77734375" bestFit="1" customWidth="1"/>
  </cols>
  <sheetData>
    <row r="1" spans="1:13" x14ac:dyDescent="0.3">
      <c r="A1" s="2" t="s">
        <v>0</v>
      </c>
      <c r="B1" s="2" t="s">
        <v>1</v>
      </c>
      <c r="C1" s="7" t="s">
        <v>6</v>
      </c>
      <c r="D1" s="8" t="s">
        <v>9</v>
      </c>
      <c r="E1" s="8" t="s">
        <v>8</v>
      </c>
      <c r="F1" s="8" t="s">
        <v>5</v>
      </c>
      <c r="G1" s="9" t="s">
        <v>6</v>
      </c>
      <c r="I1" s="8" t="s">
        <v>7</v>
      </c>
      <c r="K1" s="9" t="s">
        <v>12</v>
      </c>
      <c r="M1" s="9" t="s">
        <v>13</v>
      </c>
    </row>
    <row r="2" spans="1:13" x14ac:dyDescent="0.3">
      <c r="A2" s="3">
        <v>0</v>
      </c>
      <c r="B2" s="3">
        <v>0</v>
      </c>
      <c r="C2" s="6">
        <f>(A2/15)*100</f>
        <v>0</v>
      </c>
      <c r="D2" s="5">
        <v>0</v>
      </c>
      <c r="E2" s="5">
        <f t="shared" ref="E2:E17" si="0">(B2/$B$18)*100</f>
        <v>0</v>
      </c>
      <c r="F2" s="5">
        <v>0</v>
      </c>
      <c r="G2" s="5">
        <f t="shared" ref="G2:G17" si="1">(F2/$E$17*100)</f>
        <v>0</v>
      </c>
      <c r="I2" s="5">
        <v>0</v>
      </c>
      <c r="K2">
        <v>0</v>
      </c>
      <c r="M2">
        <f>50-K18</f>
        <v>9.1142895777990134</v>
      </c>
    </row>
    <row r="3" spans="1:13" x14ac:dyDescent="0.3">
      <c r="A3" s="4">
        <v>1</v>
      </c>
      <c r="B3" s="4">
        <v>4000</v>
      </c>
      <c r="C3" s="6">
        <f t="shared" ref="C3:C17" si="2">(A3/15)*100</f>
        <v>6.666666666666667</v>
      </c>
      <c r="D3" s="5">
        <f t="shared" ref="D3:D17" si="3">D2+E3</f>
        <v>2.6172186817069498</v>
      </c>
      <c r="E3" s="5">
        <f t="shared" si="0"/>
        <v>2.6172186817069498</v>
      </c>
      <c r="F3" s="5">
        <v>15</v>
      </c>
      <c r="G3" s="5">
        <f t="shared" si="1"/>
        <v>114.6255</v>
      </c>
      <c r="I3" s="5">
        <f>I2+G3</f>
        <v>114.6255</v>
      </c>
      <c r="K3">
        <f>(C3-C2)/100*(D3+D2)/2</f>
        <v>8.7240622723564989E-2</v>
      </c>
    </row>
    <row r="4" spans="1:13" x14ac:dyDescent="0.3">
      <c r="A4" s="4">
        <v>2</v>
      </c>
      <c r="B4" s="4">
        <v>5634</v>
      </c>
      <c r="C4" s="6">
        <f t="shared" si="2"/>
        <v>13.333333333333334</v>
      </c>
      <c r="D4" s="5">
        <f t="shared" si="3"/>
        <v>6.3035711948911892</v>
      </c>
      <c r="E4" s="5">
        <f t="shared" si="0"/>
        <v>3.6863525131842394</v>
      </c>
      <c r="F4" s="5">
        <v>50</v>
      </c>
      <c r="G4" s="5">
        <f t="shared" si="1"/>
        <v>382.08500000000004</v>
      </c>
      <c r="I4" s="5">
        <f>I3+G4</f>
        <v>496.71050000000002</v>
      </c>
      <c r="K4">
        <f t="shared" ref="K4:K17" si="4">(C4-C3)/100*(D4+D3)/2</f>
        <v>0.29735966255327129</v>
      </c>
    </row>
    <row r="5" spans="1:13" x14ac:dyDescent="0.3">
      <c r="A5" s="4">
        <v>3</v>
      </c>
      <c r="B5" s="4">
        <v>7000</v>
      </c>
      <c r="C5" s="6">
        <f t="shared" si="2"/>
        <v>20</v>
      </c>
      <c r="D5" s="5">
        <f t="shared" si="3"/>
        <v>10.883703887878351</v>
      </c>
      <c r="E5" s="5">
        <f t="shared" si="0"/>
        <v>4.5801326929871626</v>
      </c>
      <c r="F5" s="5">
        <v>62</v>
      </c>
      <c r="G5" s="5">
        <f t="shared" si="1"/>
        <v>473.78540000000004</v>
      </c>
      <c r="I5" s="5">
        <f t="shared" ref="I5:I17" si="5">I4+G5</f>
        <v>970.49590000000012</v>
      </c>
      <c r="K5">
        <f t="shared" si="4"/>
        <v>0.57290916942565129</v>
      </c>
    </row>
    <row r="6" spans="1:13" x14ac:dyDescent="0.3">
      <c r="A6" s="4">
        <v>4</v>
      </c>
      <c r="B6" s="4">
        <v>8000</v>
      </c>
      <c r="C6" s="6">
        <f t="shared" si="2"/>
        <v>26.666666666666668</v>
      </c>
      <c r="D6" s="5">
        <f t="shared" si="3"/>
        <v>16.118141251292251</v>
      </c>
      <c r="E6" s="5">
        <f t="shared" si="0"/>
        <v>5.2344373634138996</v>
      </c>
      <c r="F6" s="5">
        <v>25</v>
      </c>
      <c r="G6" s="5">
        <f t="shared" si="1"/>
        <v>191.04250000000002</v>
      </c>
      <c r="I6" s="5">
        <f t="shared" si="5"/>
        <v>1161.5384000000001</v>
      </c>
      <c r="K6">
        <f t="shared" si="4"/>
        <v>0.90006150463902024</v>
      </c>
    </row>
    <row r="7" spans="1:13" x14ac:dyDescent="0.3">
      <c r="A7" s="4">
        <v>5</v>
      </c>
      <c r="B7" s="4">
        <v>9000</v>
      </c>
      <c r="C7" s="6">
        <f t="shared" si="2"/>
        <v>33.333333333333329</v>
      </c>
      <c r="D7" s="5">
        <f t="shared" si="3"/>
        <v>22.006883285132886</v>
      </c>
      <c r="E7" s="5">
        <f t="shared" si="0"/>
        <v>5.8887420338406375</v>
      </c>
      <c r="F7" s="5">
        <v>87</v>
      </c>
      <c r="G7" s="5">
        <f t="shared" si="1"/>
        <v>664.8279</v>
      </c>
      <c r="I7" s="5">
        <f t="shared" si="5"/>
        <v>1826.3663000000001</v>
      </c>
      <c r="K7">
        <f t="shared" si="4"/>
        <v>1.2708341512141701</v>
      </c>
    </row>
    <row r="8" spans="1:13" x14ac:dyDescent="0.3">
      <c r="A8" s="4">
        <v>6</v>
      </c>
      <c r="B8" s="4">
        <v>9500</v>
      </c>
      <c r="C8" s="6">
        <f t="shared" si="2"/>
        <v>40</v>
      </c>
      <c r="D8" s="5">
        <f t="shared" si="3"/>
        <v>28.222777654186892</v>
      </c>
      <c r="E8" s="5">
        <f t="shared" si="0"/>
        <v>6.2158943690540065</v>
      </c>
      <c r="F8" s="5">
        <v>56</v>
      </c>
      <c r="G8" s="5">
        <f t="shared" si="1"/>
        <v>427.93520000000001</v>
      </c>
      <c r="I8" s="5">
        <f t="shared" si="5"/>
        <v>2254.3015</v>
      </c>
      <c r="K8">
        <f t="shared" si="4"/>
        <v>1.6743220313106604</v>
      </c>
    </row>
    <row r="9" spans="1:13" x14ac:dyDescent="0.3">
      <c r="A9" s="4">
        <v>7</v>
      </c>
      <c r="B9" s="4">
        <v>9600</v>
      </c>
      <c r="C9" s="6">
        <f t="shared" si="2"/>
        <v>46.666666666666664</v>
      </c>
      <c r="D9" s="5">
        <f t="shared" si="3"/>
        <v>34.504102490283572</v>
      </c>
      <c r="E9" s="5">
        <f t="shared" si="0"/>
        <v>6.2813248360966796</v>
      </c>
      <c r="F9" s="5">
        <v>54</v>
      </c>
      <c r="G9" s="5">
        <f t="shared" si="1"/>
        <v>412.65179999999998</v>
      </c>
      <c r="I9" s="5">
        <f t="shared" si="5"/>
        <v>2666.9533000000001</v>
      </c>
      <c r="K9">
        <f t="shared" si="4"/>
        <v>2.0908960048156811</v>
      </c>
    </row>
    <row r="10" spans="1:13" x14ac:dyDescent="0.3">
      <c r="A10" s="4">
        <v>8</v>
      </c>
      <c r="B10" s="4">
        <v>10000</v>
      </c>
      <c r="C10" s="6">
        <f t="shared" si="2"/>
        <v>53.333333333333336</v>
      </c>
      <c r="D10" s="5">
        <f t="shared" si="3"/>
        <v>41.047149194550947</v>
      </c>
      <c r="E10" s="5">
        <f t="shared" si="0"/>
        <v>6.5430467042673746</v>
      </c>
      <c r="F10" s="5">
        <v>45</v>
      </c>
      <c r="G10" s="5">
        <f t="shared" si="1"/>
        <v>343.87650000000002</v>
      </c>
      <c r="I10" s="5">
        <f t="shared" si="5"/>
        <v>3010.8298</v>
      </c>
      <c r="K10">
        <f t="shared" si="4"/>
        <v>2.518375056161152</v>
      </c>
    </row>
    <row r="11" spans="1:13" x14ac:dyDescent="0.3">
      <c r="A11" s="4">
        <v>9</v>
      </c>
      <c r="B11" s="4">
        <v>10500</v>
      </c>
      <c r="C11" s="6">
        <f t="shared" si="2"/>
        <v>60</v>
      </c>
      <c r="D11" s="5">
        <f t="shared" si="3"/>
        <v>47.917348234031692</v>
      </c>
      <c r="E11" s="5">
        <f t="shared" si="0"/>
        <v>6.8701990394807444</v>
      </c>
      <c r="F11" s="5">
        <v>80</v>
      </c>
      <c r="G11" s="5">
        <f t="shared" si="1"/>
        <v>611.33600000000001</v>
      </c>
      <c r="I11" s="5">
        <f t="shared" si="5"/>
        <v>3622.1657999999998</v>
      </c>
      <c r="K11">
        <f t="shared" si="4"/>
        <v>2.9654832476194199</v>
      </c>
    </row>
    <row r="12" spans="1:13" x14ac:dyDescent="0.3">
      <c r="A12" s="4">
        <v>10</v>
      </c>
      <c r="B12" s="4">
        <v>11000</v>
      </c>
      <c r="C12" s="6">
        <f t="shared" si="2"/>
        <v>66.666666666666657</v>
      </c>
      <c r="D12" s="5">
        <f t="shared" si="3"/>
        <v>55.114699608725807</v>
      </c>
      <c r="E12" s="5">
        <f t="shared" si="0"/>
        <v>7.1973513746941125</v>
      </c>
      <c r="F12" s="5">
        <v>98</v>
      </c>
      <c r="G12" s="5">
        <f t="shared" si="1"/>
        <v>748.88660000000004</v>
      </c>
      <c r="I12" s="5">
        <f t="shared" si="5"/>
        <v>4371.0523999999996</v>
      </c>
      <c r="K12">
        <f t="shared" si="4"/>
        <v>3.4344015947585782</v>
      </c>
    </row>
    <row r="13" spans="1:13" x14ac:dyDescent="0.3">
      <c r="A13" s="4">
        <v>11</v>
      </c>
      <c r="B13" s="4">
        <v>11600</v>
      </c>
      <c r="C13" s="6">
        <f t="shared" si="2"/>
        <v>73.333333333333329</v>
      </c>
      <c r="D13" s="5">
        <f t="shared" si="3"/>
        <v>62.704633785675966</v>
      </c>
      <c r="E13" s="5">
        <f t="shared" si="0"/>
        <v>7.5899341769501554</v>
      </c>
      <c r="F13" s="5">
        <v>20</v>
      </c>
      <c r="G13" s="5">
        <f t="shared" si="1"/>
        <v>152.834</v>
      </c>
      <c r="I13" s="5">
        <f t="shared" si="5"/>
        <v>4523.8863999999994</v>
      </c>
      <c r="K13">
        <f t="shared" si="4"/>
        <v>3.9273111131467284</v>
      </c>
    </row>
    <row r="14" spans="1:13" x14ac:dyDescent="0.3">
      <c r="A14" s="4">
        <v>12</v>
      </c>
      <c r="B14" s="4">
        <v>11850</v>
      </c>
      <c r="C14" s="6">
        <f t="shared" si="2"/>
        <v>80</v>
      </c>
      <c r="D14" s="5">
        <f t="shared" si="3"/>
        <v>70.45814413023281</v>
      </c>
      <c r="E14" s="5">
        <f t="shared" si="0"/>
        <v>7.7535103445568394</v>
      </c>
      <c r="F14" s="5">
        <v>92</v>
      </c>
      <c r="G14" s="5">
        <f t="shared" si="1"/>
        <v>703.03640000000007</v>
      </c>
      <c r="I14" s="5">
        <f t="shared" si="5"/>
        <v>5226.9227999999994</v>
      </c>
      <c r="K14">
        <f t="shared" si="4"/>
        <v>4.4387592638636288</v>
      </c>
    </row>
    <row r="15" spans="1:13" x14ac:dyDescent="0.3">
      <c r="A15" s="4">
        <v>13</v>
      </c>
      <c r="B15" s="4">
        <v>12250</v>
      </c>
      <c r="C15" s="6">
        <f t="shared" si="2"/>
        <v>86.666666666666671</v>
      </c>
      <c r="D15" s="5">
        <f t="shared" si="3"/>
        <v>78.47337634296035</v>
      </c>
      <c r="E15" s="5">
        <f t="shared" si="0"/>
        <v>8.0152322127275344</v>
      </c>
      <c r="F15" s="5">
        <v>43</v>
      </c>
      <c r="G15" s="5">
        <f t="shared" si="1"/>
        <v>328.59309999999999</v>
      </c>
      <c r="I15" s="5">
        <f t="shared" si="5"/>
        <v>5555.5158999999994</v>
      </c>
      <c r="K15">
        <f t="shared" si="4"/>
        <v>4.9643840157731081</v>
      </c>
    </row>
    <row r="16" spans="1:13" x14ac:dyDescent="0.3">
      <c r="A16" s="4">
        <v>14</v>
      </c>
      <c r="B16" s="4">
        <v>12900</v>
      </c>
      <c r="C16" s="6">
        <f t="shared" si="2"/>
        <v>93.333333333333329</v>
      </c>
      <c r="D16" s="5">
        <f t="shared" si="3"/>
        <v>86.913906591465263</v>
      </c>
      <c r="E16" s="5">
        <f t="shared" si="0"/>
        <v>8.4405302485049134</v>
      </c>
      <c r="F16" s="5">
        <v>76</v>
      </c>
      <c r="G16" s="5">
        <f t="shared" si="1"/>
        <v>580.76920000000007</v>
      </c>
      <c r="I16" s="5">
        <f t="shared" si="5"/>
        <v>6136.2850999999991</v>
      </c>
      <c r="K16">
        <f t="shared" si="4"/>
        <v>5.5129094311475129</v>
      </c>
    </row>
    <row r="17" spans="1:11" x14ac:dyDescent="0.3">
      <c r="A17" s="4">
        <v>15</v>
      </c>
      <c r="B17" s="4">
        <v>20000</v>
      </c>
      <c r="C17" s="6">
        <f t="shared" si="2"/>
        <v>100</v>
      </c>
      <c r="D17" s="5">
        <f t="shared" si="3"/>
        <v>100.00000000000001</v>
      </c>
      <c r="E17" s="5">
        <f t="shared" si="0"/>
        <v>13.086093408534749</v>
      </c>
      <c r="F17" s="5">
        <v>66</v>
      </c>
      <c r="G17" s="5">
        <f t="shared" si="1"/>
        <v>504.35220000000004</v>
      </c>
      <c r="I17" s="5">
        <f t="shared" si="5"/>
        <v>6640.6372999999994</v>
      </c>
      <c r="K17">
        <f t="shared" si="4"/>
        <v>6.2304635530488461</v>
      </c>
    </row>
    <row r="18" spans="1:11" ht="15.6" x14ac:dyDescent="0.3">
      <c r="A18" s="1" t="s">
        <v>2</v>
      </c>
      <c r="B18" s="1">
        <f>SUM(B2:B17)</f>
        <v>152834</v>
      </c>
      <c r="D18" s="8"/>
      <c r="E18" s="8"/>
      <c r="F18" s="8">
        <f>SUM(F2:F17)</f>
        <v>869</v>
      </c>
      <c r="K18" s="10">
        <f>SUM(K2:K17)</f>
        <v>40.885710422200987</v>
      </c>
    </row>
    <row r="23" spans="1:11" x14ac:dyDescent="0.3">
      <c r="I23" t="s">
        <v>10</v>
      </c>
      <c r="J23" t="s">
        <v>11</v>
      </c>
    </row>
    <row r="24" spans="1:11" x14ac:dyDescent="0.3">
      <c r="I24">
        <v>0</v>
      </c>
      <c r="J24">
        <v>0</v>
      </c>
    </row>
    <row r="25" spans="1:11" x14ac:dyDescent="0.3">
      <c r="I25">
        <v>100</v>
      </c>
      <c r="J25">
        <v>100</v>
      </c>
    </row>
    <row r="29" spans="1:11" x14ac:dyDescent="0.3">
      <c r="G29" s="9" t="s">
        <v>14</v>
      </c>
    </row>
    <row r="30" spans="1:11" x14ac:dyDescent="0.3">
      <c r="G30">
        <f>M2/50</f>
        <v>0.18228579155598026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9D7BB-516C-4BA1-B00A-F636AAF41343}">
  <dimension ref="A2:O23"/>
  <sheetViews>
    <sheetView tabSelected="1" topLeftCell="A2" zoomScale="101" workbookViewId="0">
      <selection activeCell="J22" sqref="J22"/>
    </sheetView>
  </sheetViews>
  <sheetFormatPr defaultRowHeight="14.4" x14ac:dyDescent="0.3"/>
  <cols>
    <col min="2" max="2" width="9" bestFit="1" customWidth="1"/>
    <col min="3" max="3" width="9" customWidth="1"/>
    <col min="4" max="4" width="13.109375" bestFit="1" customWidth="1"/>
    <col min="5" max="5" width="13.6640625" bestFit="1" customWidth="1"/>
    <col min="6" max="6" width="13.21875" bestFit="1" customWidth="1"/>
    <col min="7" max="7" width="13.77734375" bestFit="1" customWidth="1"/>
    <col min="14" max="14" width="16.21875" bestFit="1" customWidth="1"/>
    <col min="17" max="17" width="17.109375" bestFit="1" customWidth="1"/>
  </cols>
  <sheetData>
    <row r="2" spans="1:15" ht="27.6" x14ac:dyDescent="0.3">
      <c r="A2" s="2" t="s">
        <v>0</v>
      </c>
      <c r="B2" s="2" t="s">
        <v>1</v>
      </c>
      <c r="C2" t="s">
        <v>19</v>
      </c>
      <c r="D2" t="s">
        <v>15</v>
      </c>
      <c r="E2" t="s">
        <v>18</v>
      </c>
    </row>
    <row r="3" spans="1:15" x14ac:dyDescent="0.3">
      <c r="A3" s="3">
        <v>0</v>
      </c>
      <c r="B3" s="3">
        <v>0</v>
      </c>
      <c r="C3">
        <f>(A3/15)*100</f>
        <v>0</v>
      </c>
      <c r="D3">
        <f>(B3/$B$19)*100</f>
        <v>0</v>
      </c>
      <c r="E3">
        <v>0</v>
      </c>
    </row>
    <row r="4" spans="1:15" x14ac:dyDescent="0.3">
      <c r="A4" s="4">
        <v>1</v>
      </c>
      <c r="B4" s="4">
        <v>4000</v>
      </c>
      <c r="C4">
        <f t="shared" ref="C4:C18" si="0">(A4/15)*100</f>
        <v>6.666666666666667</v>
      </c>
      <c r="D4">
        <f t="shared" ref="D4:D18" si="1">(B4/$B$19)*100</f>
        <v>2.6172186817069498</v>
      </c>
      <c r="E4">
        <f>D4+E3</f>
        <v>2.6172186817069498</v>
      </c>
      <c r="N4" t="s">
        <v>17</v>
      </c>
      <c r="O4" t="s">
        <v>16</v>
      </c>
    </row>
    <row r="5" spans="1:15" x14ac:dyDescent="0.3">
      <c r="A5" s="4">
        <v>2</v>
      </c>
      <c r="B5" s="4">
        <v>5634</v>
      </c>
      <c r="C5">
        <f t="shared" si="0"/>
        <v>13.333333333333334</v>
      </c>
      <c r="D5">
        <f t="shared" si="1"/>
        <v>3.6863525131842394</v>
      </c>
      <c r="E5">
        <f t="shared" ref="E5:E18" si="2">D5+E4</f>
        <v>6.3035711948911892</v>
      </c>
      <c r="N5">
        <f>50-O20</f>
        <v>9.1142895777989992</v>
      </c>
      <c r="O5">
        <f>(E4+E3)/2*(C4-C3)/100</f>
        <v>8.7240622723565003E-2</v>
      </c>
    </row>
    <row r="6" spans="1:15" x14ac:dyDescent="0.3">
      <c r="A6" s="4">
        <v>3</v>
      </c>
      <c r="B6" s="4">
        <v>7000</v>
      </c>
      <c r="C6">
        <f t="shared" si="0"/>
        <v>20</v>
      </c>
      <c r="D6">
        <f t="shared" si="1"/>
        <v>4.5801326929871626</v>
      </c>
      <c r="E6">
        <f t="shared" si="2"/>
        <v>10.883703887878351</v>
      </c>
      <c r="O6">
        <f t="shared" ref="O6:O19" si="3">(E5+E4)/2*(C5-C4)/100</f>
        <v>0.29735966255327129</v>
      </c>
    </row>
    <row r="7" spans="1:15" x14ac:dyDescent="0.3">
      <c r="A7" s="4">
        <v>4</v>
      </c>
      <c r="B7" s="4">
        <v>8000</v>
      </c>
      <c r="C7">
        <f t="shared" si="0"/>
        <v>26.666666666666668</v>
      </c>
      <c r="D7">
        <f t="shared" si="1"/>
        <v>5.2344373634138996</v>
      </c>
      <c r="E7">
        <f t="shared" si="2"/>
        <v>16.118141251292251</v>
      </c>
      <c r="O7">
        <f t="shared" si="3"/>
        <v>0.57290916942565129</v>
      </c>
    </row>
    <row r="8" spans="1:15" x14ac:dyDescent="0.3">
      <c r="A8" s="4">
        <v>5</v>
      </c>
      <c r="B8" s="4">
        <v>9000</v>
      </c>
      <c r="C8">
        <f t="shared" si="0"/>
        <v>33.333333333333329</v>
      </c>
      <c r="D8">
        <f t="shared" si="1"/>
        <v>5.8887420338406375</v>
      </c>
      <c r="E8">
        <f t="shared" si="2"/>
        <v>22.006883285132886</v>
      </c>
      <c r="O8">
        <f t="shared" si="3"/>
        <v>0.90006150463902013</v>
      </c>
    </row>
    <row r="9" spans="1:15" x14ac:dyDescent="0.3">
      <c r="A9" s="4">
        <v>6</v>
      </c>
      <c r="B9" s="4">
        <v>9500</v>
      </c>
      <c r="C9">
        <f t="shared" si="0"/>
        <v>40</v>
      </c>
      <c r="D9">
        <f t="shared" si="1"/>
        <v>6.2158943690540065</v>
      </c>
      <c r="E9">
        <f t="shared" si="2"/>
        <v>28.222777654186892</v>
      </c>
      <c r="O9">
        <f t="shared" si="3"/>
        <v>1.2708341512141701</v>
      </c>
    </row>
    <row r="10" spans="1:15" x14ac:dyDescent="0.3">
      <c r="A10" s="4">
        <v>7</v>
      </c>
      <c r="B10" s="4">
        <v>9600</v>
      </c>
      <c r="C10">
        <f t="shared" si="0"/>
        <v>46.666666666666664</v>
      </c>
      <c r="D10">
        <f t="shared" si="1"/>
        <v>6.2813248360966796</v>
      </c>
      <c r="E10">
        <f t="shared" si="2"/>
        <v>34.504102490283572</v>
      </c>
      <c r="O10">
        <f t="shared" si="3"/>
        <v>1.6743220313106604</v>
      </c>
    </row>
    <row r="11" spans="1:15" x14ac:dyDescent="0.3">
      <c r="A11" s="4">
        <v>8</v>
      </c>
      <c r="B11" s="4">
        <v>10000</v>
      </c>
      <c r="C11">
        <f t="shared" si="0"/>
        <v>53.333333333333336</v>
      </c>
      <c r="D11">
        <f t="shared" si="1"/>
        <v>6.5430467042673746</v>
      </c>
      <c r="E11">
        <f t="shared" si="2"/>
        <v>41.047149194550947</v>
      </c>
      <c r="O11">
        <f t="shared" si="3"/>
        <v>2.0908960048156815</v>
      </c>
    </row>
    <row r="12" spans="1:15" x14ac:dyDescent="0.3">
      <c r="A12" s="4">
        <v>9</v>
      </c>
      <c r="B12" s="4">
        <v>10500</v>
      </c>
      <c r="C12">
        <f t="shared" si="0"/>
        <v>60</v>
      </c>
      <c r="D12">
        <f t="shared" si="1"/>
        <v>6.8701990394807444</v>
      </c>
      <c r="E12">
        <f t="shared" si="2"/>
        <v>47.917348234031692</v>
      </c>
      <c r="O12">
        <f t="shared" si="3"/>
        <v>2.518375056161152</v>
      </c>
    </row>
    <row r="13" spans="1:15" x14ac:dyDescent="0.3">
      <c r="A13" s="4">
        <v>10</v>
      </c>
      <c r="B13" s="4">
        <v>11000</v>
      </c>
      <c r="C13">
        <f t="shared" si="0"/>
        <v>66.666666666666657</v>
      </c>
      <c r="D13">
        <f t="shared" si="1"/>
        <v>7.1973513746941125</v>
      </c>
      <c r="E13">
        <f t="shared" si="2"/>
        <v>55.114699608725807</v>
      </c>
      <c r="O13">
        <f t="shared" si="3"/>
        <v>2.9654832476194199</v>
      </c>
    </row>
    <row r="14" spans="1:15" x14ac:dyDescent="0.3">
      <c r="A14" s="4">
        <v>11</v>
      </c>
      <c r="B14" s="4">
        <v>11600</v>
      </c>
      <c r="C14">
        <f t="shared" si="0"/>
        <v>73.333333333333329</v>
      </c>
      <c r="D14">
        <f t="shared" si="1"/>
        <v>7.5899341769501554</v>
      </c>
      <c r="E14">
        <f t="shared" si="2"/>
        <v>62.704633785675966</v>
      </c>
      <c r="O14">
        <f t="shared" si="3"/>
        <v>3.4344015947585778</v>
      </c>
    </row>
    <row r="15" spans="1:15" x14ac:dyDescent="0.3">
      <c r="A15" s="4">
        <v>12</v>
      </c>
      <c r="B15" s="4">
        <v>11850</v>
      </c>
      <c r="C15">
        <f t="shared" si="0"/>
        <v>80</v>
      </c>
      <c r="D15">
        <f t="shared" si="1"/>
        <v>7.7535103445568394</v>
      </c>
      <c r="E15">
        <f t="shared" si="2"/>
        <v>70.45814413023281</v>
      </c>
      <c r="O15">
        <f t="shared" si="3"/>
        <v>3.9273111131467289</v>
      </c>
    </row>
    <row r="16" spans="1:15" x14ac:dyDescent="0.3">
      <c r="A16" s="4">
        <v>13</v>
      </c>
      <c r="B16" s="4">
        <v>12250</v>
      </c>
      <c r="C16">
        <f t="shared" si="0"/>
        <v>86.666666666666671</v>
      </c>
      <c r="D16">
        <f t="shared" si="1"/>
        <v>8.0152322127275344</v>
      </c>
      <c r="E16">
        <f t="shared" si="2"/>
        <v>78.47337634296035</v>
      </c>
      <c r="O16">
        <f t="shared" si="3"/>
        <v>4.4387592638636288</v>
      </c>
    </row>
    <row r="17" spans="1:15" x14ac:dyDescent="0.3">
      <c r="A17" s="4">
        <v>14</v>
      </c>
      <c r="B17" s="4">
        <v>12900</v>
      </c>
      <c r="C17">
        <f t="shared" si="0"/>
        <v>93.333333333333329</v>
      </c>
      <c r="D17">
        <f t="shared" si="1"/>
        <v>8.4405302485049134</v>
      </c>
      <c r="E17">
        <f t="shared" si="2"/>
        <v>86.913906591465263</v>
      </c>
      <c r="O17">
        <f t="shared" si="3"/>
        <v>4.9643840157731089</v>
      </c>
    </row>
    <row r="18" spans="1:15" x14ac:dyDescent="0.3">
      <c r="A18" s="4">
        <v>15</v>
      </c>
      <c r="B18" s="4">
        <v>20000</v>
      </c>
      <c r="C18">
        <f t="shared" si="0"/>
        <v>100</v>
      </c>
      <c r="D18">
        <f t="shared" si="1"/>
        <v>13.086093408534749</v>
      </c>
      <c r="E18">
        <f t="shared" si="2"/>
        <v>100.00000000000001</v>
      </c>
      <c r="O18">
        <f t="shared" si="3"/>
        <v>5.5129094311475129</v>
      </c>
    </row>
    <row r="19" spans="1:15" ht="15.6" x14ac:dyDescent="0.3">
      <c r="A19" s="1" t="s">
        <v>2</v>
      </c>
      <c r="B19" s="1">
        <f>SUM(B3:B18)</f>
        <v>152834</v>
      </c>
      <c r="O19">
        <f t="shared" si="3"/>
        <v>6.2304635530488461</v>
      </c>
    </row>
    <row r="20" spans="1:15" x14ac:dyDescent="0.3">
      <c r="N20" t="s">
        <v>20</v>
      </c>
      <c r="O20">
        <f>SUM(O5:O19)</f>
        <v>40.885710422201001</v>
      </c>
    </row>
    <row r="21" spans="1:15" x14ac:dyDescent="0.3">
      <c r="D21" t="s">
        <v>10</v>
      </c>
      <c r="E21" t="s">
        <v>11</v>
      </c>
      <c r="N21" t="s">
        <v>21</v>
      </c>
      <c r="O21">
        <f>N5/50</f>
        <v>0.18228579155597999</v>
      </c>
    </row>
    <row r="22" spans="1:15" x14ac:dyDescent="0.3">
      <c r="D22">
        <v>0</v>
      </c>
      <c r="E22">
        <v>0</v>
      </c>
      <c r="O22">
        <f>N5/(N5+O20)</f>
        <v>0.18228579155597999</v>
      </c>
    </row>
    <row r="23" spans="1:15" x14ac:dyDescent="0.3">
      <c r="D23">
        <v>100</v>
      </c>
      <c r="E23">
        <v>100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SHIRSENDU MUKHERJEE</dc:creator>
  <cp:lastModifiedBy>Aneesh Dasgupta</cp:lastModifiedBy>
  <dcterms:created xsi:type="dcterms:W3CDTF">2015-06-05T18:17:20Z</dcterms:created>
  <dcterms:modified xsi:type="dcterms:W3CDTF">2025-11-24T18:02:29Z</dcterms:modified>
</cp:coreProperties>
</file>