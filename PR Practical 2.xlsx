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arna Ghosal Nandi\Downloads\"/>
    </mc:Choice>
  </mc:AlternateContent>
  <xr:revisionPtr revIDLastSave="0" documentId="13_ncr:1_{BDA3AB1D-49B2-47D6-952A-8D4C6F47EF01}" xr6:coauthVersionLast="47" xr6:coauthVersionMax="47" xr10:uidLastSave="{00000000-0000-0000-0000-000000000000}"/>
  <bookViews>
    <workbookView xWindow="-120" yWindow="-120" windowWidth="20730" windowHeight="11040" firstSheet="3" activeTab="4" xr2:uid="{06CBC578-FE96-4BD6-8742-79F0E457D99F}"/>
  </bookViews>
  <sheets>
    <sheet name="Mean" sheetId="4" r:id="rId1"/>
    <sheet name="Median" sheetId="1" r:id="rId2"/>
    <sheet name="Mode" sheetId="2" r:id="rId3"/>
    <sheet name="Variance and SD" sheetId="3" r:id="rId4"/>
    <sheet name="5 Point Summary" sheetId="5" r:id="rId5"/>
    <sheet name="Functions " sheetId="6" r:id="rId6"/>
    <sheet name="TEXT FUNCTIONS" sheetId="7" r:id="rId7"/>
    <sheet name="Summarizing functions" sheetId="8" r:id="rId8"/>
    <sheet name="Sheet5" sheetId="9" r:id="rId9"/>
  </sheets>
  <definedNames>
    <definedName name="_xlchart.v1.0" hidden="1">'5 Point Summary'!$M$2</definedName>
    <definedName name="_xlchart.v1.1" hidden="1">'5 Point Summary'!$M$3:$M$33</definedName>
    <definedName name="_xlchart.v1.2" hidden="1">'5 Point Summary'!$N$2</definedName>
    <definedName name="_xlchart.v1.3" hidden="1">'5 Point Summary'!$N$3:$N$33</definedName>
    <definedName name="Audit_Time">Median!$A$1:$A$21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5" l="1"/>
  <c r="D16" i="5"/>
  <c r="E20" i="5"/>
  <c r="D20" i="5"/>
  <c r="O24" i="8"/>
  <c r="T9" i="8"/>
  <c r="Q17" i="8"/>
  <c r="Q15" i="8"/>
  <c r="Q13" i="8"/>
  <c r="J17" i="8"/>
  <c r="J15" i="8"/>
  <c r="J13" i="8"/>
  <c r="D9" i="8"/>
  <c r="D6" i="8"/>
  <c r="D3" i="8"/>
  <c r="C25" i="7"/>
  <c r="C24" i="7"/>
  <c r="C23" i="7"/>
  <c r="C22" i="7"/>
  <c r="C21" i="7"/>
  <c r="C17" i="7"/>
  <c r="C16" i="7"/>
  <c r="B20" i="7"/>
  <c r="C15" i="7"/>
  <c r="B16" i="7"/>
  <c r="B15" i="7"/>
  <c r="D15" i="7" s="1"/>
  <c r="G12" i="7"/>
  <c r="F12" i="7"/>
  <c r="E12" i="7"/>
  <c r="D12" i="7"/>
  <c r="C12" i="7"/>
  <c r="B12" i="7"/>
  <c r="G11" i="7"/>
  <c r="F11" i="7"/>
  <c r="E11" i="7"/>
  <c r="D11" i="7"/>
  <c r="C11" i="7"/>
  <c r="B11" i="7"/>
  <c r="G10" i="7"/>
  <c r="F10" i="7"/>
  <c r="E10" i="7"/>
  <c r="D10" i="7"/>
  <c r="C10" i="7"/>
  <c r="B10" i="7"/>
  <c r="G9" i="7"/>
  <c r="F9" i="7"/>
  <c r="E9" i="7"/>
  <c r="D9" i="7"/>
  <c r="C9" i="7"/>
  <c r="B9" i="7"/>
  <c r="G8" i="7"/>
  <c r="F8" i="7"/>
  <c r="E8" i="7"/>
  <c r="D8" i="7"/>
  <c r="C8" i="7"/>
  <c r="B8" i="7"/>
  <c r="G7" i="7"/>
  <c r="F7" i="7"/>
  <c r="E7" i="7"/>
  <c r="D7" i="7"/>
  <c r="C7" i="7"/>
  <c r="B7" i="7"/>
  <c r="G6" i="7"/>
  <c r="F6" i="7"/>
  <c r="E6" i="7"/>
  <c r="D6" i="7"/>
  <c r="C6" i="7"/>
  <c r="B6" i="7"/>
  <c r="G5" i="7"/>
  <c r="F5" i="7"/>
  <c r="E5" i="7"/>
  <c r="D5" i="7"/>
  <c r="C5" i="7"/>
  <c r="B5" i="7"/>
  <c r="G4" i="7"/>
  <c r="F4" i="7"/>
  <c r="E4" i="7"/>
  <c r="D4" i="7"/>
  <c r="C4" i="7"/>
  <c r="B4" i="7"/>
  <c r="G3" i="7"/>
  <c r="F3" i="7"/>
  <c r="E3" i="7"/>
  <c r="D3" i="7"/>
  <c r="C3" i="7"/>
  <c r="B3" i="7"/>
  <c r="P102" i="6"/>
  <c r="O102" i="6"/>
  <c r="N102" i="6"/>
  <c r="M102" i="6"/>
  <c r="K102" i="6"/>
  <c r="J102" i="6"/>
  <c r="I102" i="6"/>
  <c r="L102" i="6" s="1"/>
  <c r="P101" i="6"/>
  <c r="O101" i="6"/>
  <c r="N101" i="6"/>
  <c r="M101" i="6"/>
  <c r="L101" i="6"/>
  <c r="K101" i="6"/>
  <c r="J101" i="6"/>
  <c r="I101" i="6"/>
  <c r="P100" i="6"/>
  <c r="O100" i="6"/>
  <c r="N100" i="6"/>
  <c r="M100" i="6"/>
  <c r="L100" i="6"/>
  <c r="K100" i="6"/>
  <c r="J100" i="6"/>
  <c r="I100" i="6"/>
  <c r="P99" i="6"/>
  <c r="O99" i="6"/>
  <c r="N99" i="6"/>
  <c r="M99" i="6"/>
  <c r="L99" i="6"/>
  <c r="K99" i="6"/>
  <c r="J99" i="6"/>
  <c r="I99" i="6"/>
  <c r="P98" i="6"/>
  <c r="O98" i="6"/>
  <c r="N98" i="6"/>
  <c r="M98" i="6"/>
  <c r="L98" i="6"/>
  <c r="K98" i="6"/>
  <c r="J98" i="6"/>
  <c r="I98" i="6"/>
  <c r="P97" i="6"/>
  <c r="O97" i="6"/>
  <c r="N97" i="6"/>
  <c r="M97" i="6"/>
  <c r="L97" i="6"/>
  <c r="K97" i="6"/>
  <c r="J97" i="6"/>
  <c r="I97" i="6"/>
  <c r="P96" i="6"/>
  <c r="O96" i="6"/>
  <c r="N96" i="6"/>
  <c r="M96" i="6"/>
  <c r="L96" i="6"/>
  <c r="K96" i="6"/>
  <c r="J96" i="6"/>
  <c r="I96" i="6"/>
  <c r="P95" i="6"/>
  <c r="O95" i="6"/>
  <c r="N95" i="6"/>
  <c r="M95" i="6"/>
  <c r="L95" i="6"/>
  <c r="K95" i="6"/>
  <c r="J95" i="6"/>
  <c r="I95" i="6"/>
  <c r="P94" i="6"/>
  <c r="O94" i="6"/>
  <c r="N94" i="6"/>
  <c r="M94" i="6"/>
  <c r="L94" i="6"/>
  <c r="K94" i="6"/>
  <c r="J94" i="6"/>
  <c r="I94" i="6"/>
  <c r="P93" i="6"/>
  <c r="O93" i="6"/>
  <c r="N93" i="6"/>
  <c r="M93" i="6"/>
  <c r="L93" i="6"/>
  <c r="K93" i="6"/>
  <c r="J93" i="6"/>
  <c r="I93" i="6"/>
  <c r="P92" i="6"/>
  <c r="O92" i="6"/>
  <c r="N92" i="6"/>
  <c r="M92" i="6"/>
  <c r="L92" i="6"/>
  <c r="K92" i="6"/>
  <c r="J92" i="6"/>
  <c r="I92" i="6"/>
  <c r="P91" i="6"/>
  <c r="O91" i="6"/>
  <c r="N91" i="6"/>
  <c r="M91" i="6"/>
  <c r="L91" i="6"/>
  <c r="K91" i="6"/>
  <c r="J91" i="6"/>
  <c r="I91" i="6"/>
  <c r="P90" i="6"/>
  <c r="O90" i="6"/>
  <c r="N90" i="6"/>
  <c r="M90" i="6"/>
  <c r="L90" i="6"/>
  <c r="K90" i="6"/>
  <c r="J90" i="6"/>
  <c r="I90" i="6"/>
  <c r="P89" i="6"/>
  <c r="O89" i="6"/>
  <c r="N89" i="6"/>
  <c r="M89" i="6"/>
  <c r="L89" i="6"/>
  <c r="K89" i="6"/>
  <c r="J89" i="6"/>
  <c r="I89" i="6"/>
  <c r="P88" i="6"/>
  <c r="O88" i="6"/>
  <c r="N88" i="6"/>
  <c r="M88" i="6"/>
  <c r="L88" i="6"/>
  <c r="K88" i="6"/>
  <c r="J88" i="6"/>
  <c r="I88" i="6"/>
  <c r="P87" i="6"/>
  <c r="O87" i="6"/>
  <c r="N87" i="6"/>
  <c r="M87" i="6"/>
  <c r="L87" i="6"/>
  <c r="K87" i="6"/>
  <c r="J87" i="6"/>
  <c r="I87" i="6"/>
  <c r="P86" i="6"/>
  <c r="O86" i="6"/>
  <c r="N86" i="6"/>
  <c r="M86" i="6"/>
  <c r="L86" i="6"/>
  <c r="K86" i="6"/>
  <c r="J86" i="6"/>
  <c r="I86" i="6"/>
  <c r="P85" i="6"/>
  <c r="O85" i="6"/>
  <c r="N85" i="6"/>
  <c r="M85" i="6"/>
  <c r="L85" i="6"/>
  <c r="K85" i="6"/>
  <c r="J85" i="6"/>
  <c r="I85" i="6"/>
  <c r="P84" i="6"/>
  <c r="O84" i="6"/>
  <c r="N84" i="6"/>
  <c r="M84" i="6"/>
  <c r="L84" i="6"/>
  <c r="K84" i="6"/>
  <c r="J84" i="6"/>
  <c r="I84" i="6"/>
  <c r="P83" i="6"/>
  <c r="O83" i="6"/>
  <c r="N83" i="6"/>
  <c r="M83" i="6"/>
  <c r="L83" i="6"/>
  <c r="K83" i="6"/>
  <c r="J83" i="6"/>
  <c r="I83" i="6"/>
  <c r="P82" i="6"/>
  <c r="O82" i="6"/>
  <c r="N82" i="6"/>
  <c r="M82" i="6"/>
  <c r="L82" i="6"/>
  <c r="K82" i="6"/>
  <c r="J82" i="6"/>
  <c r="I82" i="6"/>
  <c r="P81" i="6"/>
  <c r="O81" i="6"/>
  <c r="N81" i="6"/>
  <c r="M81" i="6"/>
  <c r="L81" i="6"/>
  <c r="K81" i="6"/>
  <c r="J81" i="6"/>
  <c r="I81" i="6"/>
  <c r="P80" i="6"/>
  <c r="O80" i="6"/>
  <c r="N80" i="6"/>
  <c r="M80" i="6"/>
  <c r="L80" i="6"/>
  <c r="K80" i="6"/>
  <c r="J80" i="6"/>
  <c r="I80" i="6"/>
  <c r="P79" i="6"/>
  <c r="O79" i="6"/>
  <c r="N79" i="6"/>
  <c r="M79" i="6"/>
  <c r="L79" i="6"/>
  <c r="K79" i="6"/>
  <c r="J79" i="6"/>
  <c r="I79" i="6"/>
  <c r="P78" i="6"/>
  <c r="O78" i="6"/>
  <c r="N78" i="6"/>
  <c r="M78" i="6"/>
  <c r="L78" i="6"/>
  <c r="K78" i="6"/>
  <c r="J78" i="6"/>
  <c r="I78" i="6"/>
  <c r="P77" i="6"/>
  <c r="O77" i="6"/>
  <c r="N77" i="6"/>
  <c r="M77" i="6"/>
  <c r="L77" i="6"/>
  <c r="K77" i="6"/>
  <c r="J77" i="6"/>
  <c r="I77" i="6"/>
  <c r="P76" i="6"/>
  <c r="O76" i="6"/>
  <c r="N76" i="6"/>
  <c r="M76" i="6"/>
  <c r="L76" i="6"/>
  <c r="K76" i="6"/>
  <c r="J76" i="6"/>
  <c r="I76" i="6"/>
  <c r="P75" i="6"/>
  <c r="O75" i="6"/>
  <c r="N75" i="6"/>
  <c r="M75" i="6"/>
  <c r="L75" i="6"/>
  <c r="K75" i="6"/>
  <c r="J75" i="6"/>
  <c r="I75" i="6"/>
  <c r="P74" i="6"/>
  <c r="O74" i="6"/>
  <c r="N74" i="6"/>
  <c r="M74" i="6"/>
  <c r="L74" i="6"/>
  <c r="K74" i="6"/>
  <c r="J74" i="6"/>
  <c r="I74" i="6"/>
  <c r="P73" i="6"/>
  <c r="O73" i="6"/>
  <c r="N73" i="6"/>
  <c r="M73" i="6"/>
  <c r="L73" i="6"/>
  <c r="K73" i="6"/>
  <c r="J73" i="6"/>
  <c r="I73" i="6"/>
  <c r="P72" i="6"/>
  <c r="O72" i="6"/>
  <c r="N72" i="6"/>
  <c r="M72" i="6"/>
  <c r="L72" i="6"/>
  <c r="K72" i="6"/>
  <c r="J72" i="6"/>
  <c r="I72" i="6"/>
  <c r="P71" i="6"/>
  <c r="O71" i="6"/>
  <c r="N71" i="6"/>
  <c r="M71" i="6"/>
  <c r="L71" i="6"/>
  <c r="K71" i="6"/>
  <c r="J71" i="6"/>
  <c r="I71" i="6"/>
  <c r="P70" i="6"/>
  <c r="O70" i="6"/>
  <c r="N70" i="6"/>
  <c r="M70" i="6"/>
  <c r="L70" i="6"/>
  <c r="K70" i="6"/>
  <c r="J70" i="6"/>
  <c r="I70" i="6"/>
  <c r="P69" i="6"/>
  <c r="O69" i="6"/>
  <c r="N69" i="6"/>
  <c r="M69" i="6"/>
  <c r="L69" i="6"/>
  <c r="K69" i="6"/>
  <c r="J69" i="6"/>
  <c r="I69" i="6"/>
  <c r="P68" i="6"/>
  <c r="O68" i="6"/>
  <c r="N68" i="6"/>
  <c r="M68" i="6"/>
  <c r="L68" i="6"/>
  <c r="K68" i="6"/>
  <c r="J68" i="6"/>
  <c r="I68" i="6"/>
  <c r="P67" i="6"/>
  <c r="O67" i="6"/>
  <c r="N67" i="6"/>
  <c r="M67" i="6"/>
  <c r="L67" i="6"/>
  <c r="K67" i="6"/>
  <c r="J67" i="6"/>
  <c r="I67" i="6"/>
  <c r="P66" i="6"/>
  <c r="O66" i="6"/>
  <c r="N66" i="6"/>
  <c r="M66" i="6"/>
  <c r="L66" i="6"/>
  <c r="K66" i="6"/>
  <c r="J66" i="6"/>
  <c r="I66" i="6"/>
  <c r="P65" i="6"/>
  <c r="O65" i="6"/>
  <c r="N65" i="6"/>
  <c r="M65" i="6"/>
  <c r="L65" i="6"/>
  <c r="K65" i="6"/>
  <c r="J65" i="6"/>
  <c r="I65" i="6"/>
  <c r="P64" i="6"/>
  <c r="O64" i="6"/>
  <c r="N64" i="6"/>
  <c r="M64" i="6"/>
  <c r="L64" i="6"/>
  <c r="K64" i="6"/>
  <c r="J64" i="6"/>
  <c r="I64" i="6"/>
  <c r="P63" i="6"/>
  <c r="O63" i="6"/>
  <c r="N63" i="6"/>
  <c r="M63" i="6"/>
  <c r="L63" i="6"/>
  <c r="K63" i="6"/>
  <c r="J63" i="6"/>
  <c r="I63" i="6"/>
  <c r="P62" i="6"/>
  <c r="O62" i="6"/>
  <c r="N62" i="6"/>
  <c r="M62" i="6"/>
  <c r="L62" i="6"/>
  <c r="K62" i="6"/>
  <c r="J62" i="6"/>
  <c r="I62" i="6"/>
  <c r="P61" i="6"/>
  <c r="O61" i="6"/>
  <c r="N61" i="6"/>
  <c r="M61" i="6"/>
  <c r="L61" i="6"/>
  <c r="K61" i="6"/>
  <c r="J61" i="6"/>
  <c r="I61" i="6"/>
  <c r="P60" i="6"/>
  <c r="O60" i="6"/>
  <c r="N60" i="6"/>
  <c r="M60" i="6"/>
  <c r="L60" i="6"/>
  <c r="K60" i="6"/>
  <c r="J60" i="6"/>
  <c r="I60" i="6"/>
  <c r="P59" i="6"/>
  <c r="O59" i="6"/>
  <c r="N59" i="6"/>
  <c r="M59" i="6"/>
  <c r="L59" i="6"/>
  <c r="K59" i="6"/>
  <c r="J59" i="6"/>
  <c r="I59" i="6"/>
  <c r="P58" i="6"/>
  <c r="O58" i="6"/>
  <c r="N58" i="6"/>
  <c r="M58" i="6"/>
  <c r="L58" i="6"/>
  <c r="K58" i="6"/>
  <c r="J58" i="6"/>
  <c r="I58" i="6"/>
  <c r="P57" i="6"/>
  <c r="O57" i="6"/>
  <c r="N57" i="6"/>
  <c r="M57" i="6"/>
  <c r="L57" i="6"/>
  <c r="K57" i="6"/>
  <c r="J57" i="6"/>
  <c r="I57" i="6"/>
  <c r="P56" i="6"/>
  <c r="O56" i="6"/>
  <c r="N56" i="6"/>
  <c r="M56" i="6"/>
  <c r="L56" i="6"/>
  <c r="K56" i="6"/>
  <c r="J56" i="6"/>
  <c r="I56" i="6"/>
  <c r="P55" i="6"/>
  <c r="O55" i="6"/>
  <c r="N55" i="6"/>
  <c r="M55" i="6"/>
  <c r="L55" i="6"/>
  <c r="K55" i="6"/>
  <c r="J55" i="6"/>
  <c r="I55" i="6"/>
  <c r="P54" i="6"/>
  <c r="O54" i="6"/>
  <c r="N54" i="6"/>
  <c r="M54" i="6"/>
  <c r="L54" i="6"/>
  <c r="K54" i="6"/>
  <c r="J54" i="6"/>
  <c r="I54" i="6"/>
  <c r="P53" i="6"/>
  <c r="O53" i="6"/>
  <c r="N53" i="6"/>
  <c r="M53" i="6"/>
  <c r="L53" i="6"/>
  <c r="K53" i="6"/>
  <c r="J53" i="6"/>
  <c r="I53" i="6"/>
  <c r="P52" i="6"/>
  <c r="O52" i="6"/>
  <c r="N52" i="6"/>
  <c r="M52" i="6"/>
  <c r="L52" i="6"/>
  <c r="K52" i="6"/>
  <c r="J52" i="6"/>
  <c r="I52" i="6"/>
  <c r="P51" i="6"/>
  <c r="O51" i="6"/>
  <c r="N51" i="6"/>
  <c r="M51" i="6"/>
  <c r="L51" i="6"/>
  <c r="K51" i="6"/>
  <c r="J51" i="6"/>
  <c r="I51" i="6"/>
  <c r="P50" i="6"/>
  <c r="O50" i="6"/>
  <c r="N50" i="6"/>
  <c r="M50" i="6"/>
  <c r="L50" i="6"/>
  <c r="K50" i="6"/>
  <c r="J50" i="6"/>
  <c r="I50" i="6"/>
  <c r="P49" i="6"/>
  <c r="O49" i="6"/>
  <c r="N49" i="6"/>
  <c r="M49" i="6"/>
  <c r="L49" i="6"/>
  <c r="K49" i="6"/>
  <c r="J49" i="6"/>
  <c r="I49" i="6"/>
  <c r="P48" i="6"/>
  <c r="O48" i="6"/>
  <c r="N48" i="6"/>
  <c r="M48" i="6"/>
  <c r="L48" i="6"/>
  <c r="K48" i="6"/>
  <c r="J48" i="6"/>
  <c r="I48" i="6"/>
  <c r="P47" i="6"/>
  <c r="O47" i="6"/>
  <c r="N47" i="6"/>
  <c r="M47" i="6"/>
  <c r="L47" i="6"/>
  <c r="K47" i="6"/>
  <c r="J47" i="6"/>
  <c r="I47" i="6"/>
  <c r="P46" i="6"/>
  <c r="O46" i="6"/>
  <c r="N46" i="6"/>
  <c r="M46" i="6"/>
  <c r="L46" i="6"/>
  <c r="K46" i="6"/>
  <c r="J46" i="6"/>
  <c r="I46" i="6"/>
  <c r="P45" i="6"/>
  <c r="O45" i="6"/>
  <c r="N45" i="6"/>
  <c r="M45" i="6"/>
  <c r="L45" i="6"/>
  <c r="K45" i="6"/>
  <c r="J45" i="6"/>
  <c r="I45" i="6"/>
  <c r="P44" i="6"/>
  <c r="O44" i="6"/>
  <c r="N44" i="6"/>
  <c r="M44" i="6"/>
  <c r="L44" i="6"/>
  <c r="K44" i="6"/>
  <c r="J44" i="6"/>
  <c r="I44" i="6"/>
  <c r="P43" i="6"/>
  <c r="O43" i="6"/>
  <c r="N43" i="6"/>
  <c r="M43" i="6"/>
  <c r="L43" i="6"/>
  <c r="K43" i="6"/>
  <c r="J43" i="6"/>
  <c r="I43" i="6"/>
  <c r="P42" i="6"/>
  <c r="O42" i="6"/>
  <c r="N42" i="6"/>
  <c r="M42" i="6"/>
  <c r="L42" i="6"/>
  <c r="K42" i="6"/>
  <c r="J42" i="6"/>
  <c r="I42" i="6"/>
  <c r="P41" i="6"/>
  <c r="O41" i="6"/>
  <c r="N41" i="6"/>
  <c r="M41" i="6"/>
  <c r="L41" i="6"/>
  <c r="K41" i="6"/>
  <c r="J41" i="6"/>
  <c r="I41" i="6"/>
  <c r="P40" i="6"/>
  <c r="O40" i="6"/>
  <c r="N40" i="6"/>
  <c r="M40" i="6"/>
  <c r="L40" i="6"/>
  <c r="K40" i="6"/>
  <c r="J40" i="6"/>
  <c r="I40" i="6"/>
  <c r="P39" i="6"/>
  <c r="O39" i="6"/>
  <c r="N39" i="6"/>
  <c r="M39" i="6"/>
  <c r="L39" i="6"/>
  <c r="K39" i="6"/>
  <c r="J39" i="6"/>
  <c r="I39" i="6"/>
  <c r="P38" i="6"/>
  <c r="O38" i="6"/>
  <c r="N38" i="6"/>
  <c r="M38" i="6"/>
  <c r="L38" i="6"/>
  <c r="K38" i="6"/>
  <c r="J38" i="6"/>
  <c r="I38" i="6"/>
  <c r="P37" i="6"/>
  <c r="O37" i="6"/>
  <c r="N37" i="6"/>
  <c r="M37" i="6"/>
  <c r="L37" i="6"/>
  <c r="K37" i="6"/>
  <c r="J37" i="6"/>
  <c r="I37" i="6"/>
  <c r="P36" i="6"/>
  <c r="O36" i="6"/>
  <c r="N36" i="6"/>
  <c r="M36" i="6"/>
  <c r="L36" i="6"/>
  <c r="K36" i="6"/>
  <c r="J36" i="6"/>
  <c r="I36" i="6"/>
  <c r="P35" i="6"/>
  <c r="O35" i="6"/>
  <c r="N35" i="6"/>
  <c r="M35" i="6"/>
  <c r="L35" i="6"/>
  <c r="K35" i="6"/>
  <c r="J35" i="6"/>
  <c r="I35" i="6"/>
  <c r="P34" i="6"/>
  <c r="O34" i="6"/>
  <c r="N34" i="6"/>
  <c r="M34" i="6"/>
  <c r="L34" i="6"/>
  <c r="K34" i="6"/>
  <c r="J34" i="6"/>
  <c r="I34" i="6"/>
  <c r="P33" i="6"/>
  <c r="O33" i="6"/>
  <c r="N33" i="6"/>
  <c r="M33" i="6"/>
  <c r="L33" i="6"/>
  <c r="K33" i="6"/>
  <c r="J33" i="6"/>
  <c r="I33" i="6"/>
  <c r="P32" i="6"/>
  <c r="O32" i="6"/>
  <c r="N32" i="6"/>
  <c r="M32" i="6"/>
  <c r="L32" i="6"/>
  <c r="K32" i="6"/>
  <c r="J32" i="6"/>
  <c r="I32" i="6"/>
  <c r="P31" i="6"/>
  <c r="O31" i="6"/>
  <c r="N31" i="6"/>
  <c r="M31" i="6"/>
  <c r="L31" i="6"/>
  <c r="K31" i="6"/>
  <c r="J31" i="6"/>
  <c r="I31" i="6"/>
  <c r="P30" i="6"/>
  <c r="O30" i="6"/>
  <c r="N30" i="6"/>
  <c r="M30" i="6"/>
  <c r="L30" i="6"/>
  <c r="K30" i="6"/>
  <c r="J30" i="6"/>
  <c r="I30" i="6"/>
  <c r="P29" i="6"/>
  <c r="O29" i="6"/>
  <c r="N29" i="6"/>
  <c r="M29" i="6"/>
  <c r="L29" i="6"/>
  <c r="K29" i="6"/>
  <c r="J29" i="6"/>
  <c r="I29" i="6"/>
  <c r="P28" i="6"/>
  <c r="O28" i="6"/>
  <c r="N28" i="6"/>
  <c r="M28" i="6"/>
  <c r="L28" i="6"/>
  <c r="K28" i="6"/>
  <c r="J28" i="6"/>
  <c r="I28" i="6"/>
  <c r="P27" i="6"/>
  <c r="O27" i="6"/>
  <c r="N27" i="6"/>
  <c r="M27" i="6"/>
  <c r="L27" i="6"/>
  <c r="K27" i="6"/>
  <c r="J27" i="6"/>
  <c r="I27" i="6"/>
  <c r="P26" i="6"/>
  <c r="O26" i="6"/>
  <c r="N26" i="6"/>
  <c r="M26" i="6"/>
  <c r="L26" i="6"/>
  <c r="K26" i="6"/>
  <c r="J26" i="6"/>
  <c r="I26" i="6"/>
  <c r="P25" i="6"/>
  <c r="O25" i="6"/>
  <c r="N25" i="6"/>
  <c r="M25" i="6"/>
  <c r="L25" i="6"/>
  <c r="K25" i="6"/>
  <c r="J25" i="6"/>
  <c r="I25" i="6"/>
  <c r="P24" i="6"/>
  <c r="O24" i="6"/>
  <c r="N24" i="6"/>
  <c r="M24" i="6"/>
  <c r="L24" i="6"/>
  <c r="K24" i="6"/>
  <c r="J24" i="6"/>
  <c r="I24" i="6"/>
  <c r="P23" i="6"/>
  <c r="O23" i="6"/>
  <c r="N23" i="6"/>
  <c r="M23" i="6"/>
  <c r="L23" i="6"/>
  <c r="K23" i="6"/>
  <c r="J23" i="6"/>
  <c r="I23" i="6"/>
  <c r="P22" i="6"/>
  <c r="O22" i="6"/>
  <c r="N22" i="6"/>
  <c r="M22" i="6"/>
  <c r="L22" i="6"/>
  <c r="K22" i="6"/>
  <c r="J22" i="6"/>
  <c r="I22" i="6"/>
  <c r="P21" i="6"/>
  <c r="O21" i="6"/>
  <c r="N21" i="6"/>
  <c r="M21" i="6"/>
  <c r="L21" i="6"/>
  <c r="K21" i="6"/>
  <c r="J21" i="6"/>
  <c r="I21" i="6"/>
  <c r="P20" i="6"/>
  <c r="O20" i="6"/>
  <c r="N20" i="6"/>
  <c r="M20" i="6"/>
  <c r="L20" i="6"/>
  <c r="K20" i="6"/>
  <c r="J20" i="6"/>
  <c r="I20" i="6"/>
  <c r="P19" i="6"/>
  <c r="O19" i="6"/>
  <c r="N19" i="6"/>
  <c r="M19" i="6"/>
  <c r="L19" i="6"/>
  <c r="K19" i="6"/>
  <c r="J19" i="6"/>
  <c r="I19" i="6"/>
  <c r="P18" i="6"/>
  <c r="O18" i="6"/>
  <c r="N18" i="6"/>
  <c r="M18" i="6"/>
  <c r="L18" i="6"/>
  <c r="K18" i="6"/>
  <c r="J18" i="6"/>
  <c r="I18" i="6"/>
  <c r="P17" i="6"/>
  <c r="O17" i="6"/>
  <c r="N17" i="6"/>
  <c r="M17" i="6"/>
  <c r="L17" i="6"/>
  <c r="K17" i="6"/>
  <c r="J17" i="6"/>
  <c r="I17" i="6"/>
  <c r="P16" i="6"/>
  <c r="O16" i="6"/>
  <c r="N16" i="6"/>
  <c r="M16" i="6"/>
  <c r="L16" i="6"/>
  <c r="K16" i="6"/>
  <c r="J16" i="6"/>
  <c r="I16" i="6"/>
  <c r="P15" i="6"/>
  <c r="O15" i="6"/>
  <c r="N15" i="6"/>
  <c r="M15" i="6"/>
  <c r="L15" i="6"/>
  <c r="K15" i="6"/>
  <c r="J15" i="6"/>
  <c r="I15" i="6"/>
  <c r="P14" i="6"/>
  <c r="O14" i="6"/>
  <c r="N14" i="6"/>
  <c r="M14" i="6"/>
  <c r="L14" i="6"/>
  <c r="K14" i="6"/>
  <c r="J14" i="6"/>
  <c r="I14" i="6"/>
  <c r="P13" i="6"/>
  <c r="O13" i="6"/>
  <c r="N13" i="6"/>
  <c r="M13" i="6"/>
  <c r="L13" i="6"/>
  <c r="K13" i="6"/>
  <c r="J13" i="6"/>
  <c r="I13" i="6"/>
  <c r="P12" i="6"/>
  <c r="O12" i="6"/>
  <c r="N12" i="6"/>
  <c r="M12" i="6"/>
  <c r="L12" i="6"/>
  <c r="K12" i="6"/>
  <c r="J12" i="6"/>
  <c r="I12" i="6"/>
  <c r="P11" i="6"/>
  <c r="O11" i="6"/>
  <c r="N11" i="6"/>
  <c r="M11" i="6"/>
  <c r="L11" i="6"/>
  <c r="K11" i="6"/>
  <c r="J11" i="6"/>
  <c r="I11" i="6"/>
  <c r="P10" i="6"/>
  <c r="O10" i="6"/>
  <c r="N10" i="6"/>
  <c r="M10" i="6"/>
  <c r="L10" i="6"/>
  <c r="K10" i="6"/>
  <c r="J10" i="6"/>
  <c r="I10" i="6"/>
  <c r="P9" i="6"/>
  <c r="O9" i="6"/>
  <c r="N9" i="6"/>
  <c r="M9" i="6"/>
  <c r="L9" i="6"/>
  <c r="K9" i="6"/>
  <c r="J9" i="6"/>
  <c r="I9" i="6"/>
  <c r="P8" i="6"/>
  <c r="O8" i="6"/>
  <c r="N8" i="6"/>
  <c r="M8" i="6"/>
  <c r="L8" i="6"/>
  <c r="K8" i="6"/>
  <c r="J8" i="6"/>
  <c r="I8" i="6"/>
  <c r="P7" i="6"/>
  <c r="O7" i="6"/>
  <c r="N7" i="6"/>
  <c r="M7" i="6"/>
  <c r="L7" i="6"/>
  <c r="K7" i="6"/>
  <c r="J7" i="6"/>
  <c r="I7" i="6"/>
  <c r="P6" i="6"/>
  <c r="O6" i="6"/>
  <c r="N6" i="6"/>
  <c r="M6" i="6"/>
  <c r="L6" i="6"/>
  <c r="K6" i="6"/>
  <c r="J6" i="6"/>
  <c r="I6" i="6"/>
  <c r="P5" i="6"/>
  <c r="O5" i="6"/>
  <c r="N5" i="6"/>
  <c r="M5" i="6"/>
  <c r="L5" i="6"/>
  <c r="K5" i="6"/>
  <c r="J5" i="6"/>
  <c r="I5" i="6"/>
  <c r="P4" i="6"/>
  <c r="O4" i="6"/>
  <c r="N4" i="6"/>
  <c r="M4" i="6"/>
  <c r="L4" i="6"/>
  <c r="K4" i="6"/>
  <c r="J4" i="6"/>
  <c r="I4" i="6"/>
  <c r="P3" i="6"/>
  <c r="O3" i="6"/>
  <c r="N3" i="6"/>
  <c r="M3" i="6"/>
  <c r="L3" i="6"/>
  <c r="K3" i="6"/>
  <c r="J3" i="6"/>
  <c r="I3" i="6"/>
  <c r="E19" i="5" l="1"/>
  <c r="D19" i="5"/>
  <c r="E18" i="5"/>
  <c r="D18" i="5"/>
  <c r="E17" i="5"/>
  <c r="D17" i="5"/>
  <c r="B14" i="3" l="1"/>
  <c r="G4" i="3"/>
  <c r="G5" i="3"/>
  <c r="G6" i="3"/>
  <c r="G7" i="3"/>
  <c r="G3" i="3"/>
  <c r="F8" i="3"/>
  <c r="B8" i="3"/>
  <c r="E7" i="3"/>
  <c r="F6" i="3"/>
  <c r="E6" i="3"/>
  <c r="E5" i="3"/>
  <c r="F5" i="3" s="1"/>
  <c r="E4" i="3"/>
  <c r="E3" i="3"/>
  <c r="H5" i="3"/>
  <c r="I5" i="3" s="1"/>
  <c r="H6" i="3" l="1"/>
  <c r="I6" i="3" s="1"/>
  <c r="H7" i="3"/>
  <c r="I7" i="3" s="1"/>
  <c r="H4" i="3"/>
  <c r="I4" i="3" s="1"/>
  <c r="H3" i="3"/>
  <c r="I3" i="3" s="1"/>
  <c r="I8" i="3" s="1"/>
  <c r="F3" i="3"/>
  <c r="F7" i="3"/>
  <c r="B15" i="3" s="1"/>
  <c r="F4" i="3"/>
  <c r="B20" i="2"/>
  <c r="B19" i="1"/>
  <c r="C12" i="1"/>
  <c r="B20" i="1" s="1"/>
  <c r="E3" i="1"/>
  <c r="E4" i="1" s="1"/>
  <c r="E5" i="1" s="1"/>
  <c r="E6" i="1" s="1"/>
  <c r="E3" i="4"/>
  <c r="F3" i="4" s="1"/>
  <c r="E4" i="4"/>
  <c r="F4" i="4" s="1"/>
  <c r="E5" i="4"/>
  <c r="F5" i="4" s="1"/>
  <c r="E6" i="4"/>
  <c r="F6" i="4" s="1"/>
  <c r="E2" i="4"/>
  <c r="F2" i="4" s="1"/>
  <c r="D7" i="1"/>
  <c r="B7" i="4"/>
  <c r="B7" i="2"/>
  <c r="F7" i="4" l="1"/>
  <c r="B10" i="4" s="1"/>
  <c r="E7" i="4"/>
</calcChain>
</file>

<file path=xl/sharedStrings.xml><?xml version="1.0" encoding="utf-8"?>
<sst xmlns="http://schemas.openxmlformats.org/spreadsheetml/2006/main" count="494" uniqueCount="234">
  <si>
    <t>Ranges</t>
  </si>
  <si>
    <t>10-15</t>
  </si>
  <si>
    <t>15-20</t>
  </si>
  <si>
    <t>20-25</t>
  </si>
  <si>
    <t>25-30</t>
  </si>
  <si>
    <t>30-35</t>
  </si>
  <si>
    <t>Frequency</t>
  </si>
  <si>
    <t>Lower Boundary</t>
  </si>
  <si>
    <t>Upper Boundary</t>
  </si>
  <si>
    <t>Lower boundary</t>
  </si>
  <si>
    <t>upper boundary</t>
  </si>
  <si>
    <t>X</t>
  </si>
  <si>
    <t>FX</t>
  </si>
  <si>
    <t>MEAN</t>
  </si>
  <si>
    <t>VARIANCE</t>
  </si>
  <si>
    <t>SD</t>
  </si>
  <si>
    <t>CF</t>
  </si>
  <si>
    <t>N</t>
  </si>
  <si>
    <t>F</t>
  </si>
  <si>
    <t>L1</t>
  </si>
  <si>
    <t>Median Class</t>
  </si>
  <si>
    <t>C</t>
  </si>
  <si>
    <t>Median</t>
  </si>
  <si>
    <t>Q3</t>
  </si>
  <si>
    <t>Modal Class Frequency(f)</t>
  </si>
  <si>
    <t>L</t>
  </si>
  <si>
    <t>f1</t>
  </si>
  <si>
    <t>f2</t>
  </si>
  <si>
    <t>MODE</t>
  </si>
  <si>
    <t>DATA FOR MEDIAN</t>
  </si>
  <si>
    <t>X-MEAN</t>
  </si>
  <si>
    <t>(X-MEAN)^2</t>
  </si>
  <si>
    <t>F*(x-mean)^2</t>
  </si>
  <si>
    <t>DATA FOR QUARTILE</t>
  </si>
  <si>
    <t>N/2 and 3N/4</t>
  </si>
  <si>
    <t>LOWER BOUNDARY</t>
  </si>
  <si>
    <t>UPPER BOUNDARY</t>
  </si>
  <si>
    <t>Finish</t>
  </si>
  <si>
    <t>Men</t>
  </si>
  <si>
    <t>Women</t>
  </si>
  <si>
    <t>Population</t>
  </si>
  <si>
    <t>Q1</t>
  </si>
  <si>
    <t>Attributes</t>
  </si>
  <si>
    <t xml:space="preserve"> </t>
  </si>
  <si>
    <t>Marks in Economics</t>
  </si>
  <si>
    <t>Marks in Statistics</t>
  </si>
  <si>
    <t>Marks in Maths</t>
  </si>
  <si>
    <t>Marks in Comp. Sc.</t>
  </si>
  <si>
    <t>SUM</t>
  </si>
  <si>
    <t>IF</t>
  </si>
  <si>
    <t>NESTED IF</t>
  </si>
  <si>
    <t>AND</t>
  </si>
  <si>
    <t>IF + AND</t>
  </si>
  <si>
    <t>IF + OR</t>
  </si>
  <si>
    <t>IF + NOT</t>
  </si>
  <si>
    <t>Sr no</t>
  </si>
  <si>
    <t>Name</t>
  </si>
  <si>
    <t>College</t>
  </si>
  <si>
    <t>Degree</t>
  </si>
  <si>
    <t>Total Marks</t>
  </si>
  <si>
    <t>Passed in Maths?</t>
  </si>
  <si>
    <t>Passed in Economics</t>
  </si>
  <si>
    <t>Overall Performance</t>
  </si>
  <si>
    <t>JU &amp; Doing Masters &amp; Maths&gt;70</t>
  </si>
  <si>
    <t>JUites</t>
  </si>
  <si>
    <t>Ivy League</t>
  </si>
  <si>
    <t>Ivy League (Alternative)</t>
  </si>
  <si>
    <t>Laci Belfield  </t>
  </si>
  <si>
    <t>CU</t>
  </si>
  <si>
    <t>Bachelors</t>
  </si>
  <si>
    <t>Albina Deese  </t>
  </si>
  <si>
    <t>JU</t>
  </si>
  <si>
    <t>Other</t>
  </si>
  <si>
    <t>Jerrell MorlEconomicsk  </t>
  </si>
  <si>
    <t>BMS</t>
  </si>
  <si>
    <t>Norene Elvira  </t>
  </si>
  <si>
    <t>Gilberte Luby  </t>
  </si>
  <si>
    <t>Genevieve Blumer  </t>
  </si>
  <si>
    <t>Masters</t>
  </si>
  <si>
    <t>Lakiesha Townson  </t>
  </si>
  <si>
    <t>JNU</t>
  </si>
  <si>
    <t>Kris Cadiz  </t>
  </si>
  <si>
    <t>Kimberlie Ploss  </t>
  </si>
  <si>
    <t>Russel Yeomans  </t>
  </si>
  <si>
    <t>Rene Winchell  </t>
  </si>
  <si>
    <t>Georgia Goehring  </t>
  </si>
  <si>
    <t>Emilio Mooneyhan  </t>
  </si>
  <si>
    <t>Ouida Favors  </t>
  </si>
  <si>
    <t>Arnulfo Lessman  </t>
  </si>
  <si>
    <t>Samella Wohlwend  </t>
  </si>
  <si>
    <t>Dinah Chapel  </t>
  </si>
  <si>
    <t>Ignacio Evan  </t>
  </si>
  <si>
    <t>Roman Figueroa  </t>
  </si>
  <si>
    <t>Zola Tiner  </t>
  </si>
  <si>
    <t>Charise Hobbs  </t>
  </si>
  <si>
    <t>Allegra Neiman  </t>
  </si>
  <si>
    <t>Raleigh Kavanaugh  </t>
  </si>
  <si>
    <t>Marvis Hume  </t>
  </si>
  <si>
    <t>Georgiana Stimpson  </t>
  </si>
  <si>
    <t>Karena Kaup  </t>
  </si>
  <si>
    <t>Brenda Zynda  </t>
  </si>
  <si>
    <t>Normand Sheard  </t>
  </si>
  <si>
    <t>Minna Spain  </t>
  </si>
  <si>
    <t>Marcela Serrao  </t>
  </si>
  <si>
    <t>Tamiko Jaimes  </t>
  </si>
  <si>
    <t>Helene Warrior  </t>
  </si>
  <si>
    <t>Thad Erion  </t>
  </si>
  <si>
    <t>Minda Mcconn  </t>
  </si>
  <si>
    <t>Breann Caple  </t>
  </si>
  <si>
    <t>Chong Streich  </t>
  </si>
  <si>
    <t>Cathern Yingling  </t>
  </si>
  <si>
    <t>Rob Henshaw  </t>
  </si>
  <si>
    <t>Mildred Chiaramonte  </t>
  </si>
  <si>
    <t>Grant Bremer  </t>
  </si>
  <si>
    <t>Doris Eilers  </t>
  </si>
  <si>
    <t>Johnette Roden  </t>
  </si>
  <si>
    <t>Manie Bavaro  </t>
  </si>
  <si>
    <t>Laine Nickel  </t>
  </si>
  <si>
    <t>Stuart Thrush  </t>
  </si>
  <si>
    <t>Amber Lujan  </t>
  </si>
  <si>
    <t>Ardelia Hanzlik  </t>
  </si>
  <si>
    <t>Rae Wolfgang  </t>
  </si>
  <si>
    <t>Rigoberto Dugger  </t>
  </si>
  <si>
    <t>Kimiko Buckland  </t>
  </si>
  <si>
    <t>Claris Dinger  </t>
  </si>
  <si>
    <t>Blossom Alejandre  </t>
  </si>
  <si>
    <t>Leonia Flax  </t>
  </si>
  <si>
    <t>Rosana Haycraft  </t>
  </si>
  <si>
    <t>Audrey Stacks  </t>
  </si>
  <si>
    <t>Jackqueline Sasse  </t>
  </si>
  <si>
    <t>Malia Boulanger  </t>
  </si>
  <si>
    <t>Queenie Gaitan  </t>
  </si>
  <si>
    <t>Nancy Bushard  </t>
  </si>
  <si>
    <t>Myriam Artis  </t>
  </si>
  <si>
    <t>Leisha Lemanski  </t>
  </si>
  <si>
    <t>Rodger Spindler  </t>
  </si>
  <si>
    <t>Voncile Baskerville  </t>
  </si>
  <si>
    <t>Gita Grieb  </t>
  </si>
  <si>
    <t>Alonzo Nolen  </t>
  </si>
  <si>
    <t>Kira Saldana  </t>
  </si>
  <si>
    <t>Leatrice Threatt  </t>
  </si>
  <si>
    <t>Jimmie Hatton  </t>
  </si>
  <si>
    <t>Francoise Prins  </t>
  </si>
  <si>
    <t>Wynell Clegg  </t>
  </si>
  <si>
    <t>Janet Gregorich  </t>
  </si>
  <si>
    <t>Valrie Zuber  </t>
  </si>
  <si>
    <t>Meghan Pulice  </t>
  </si>
  <si>
    <t>Timmy Demayo  </t>
  </si>
  <si>
    <t>Barbara Werth  </t>
  </si>
  <si>
    <t>Russell Ryland  </t>
  </si>
  <si>
    <t>Georgiana Odonnell  </t>
  </si>
  <si>
    <t>Avril Vester  </t>
  </si>
  <si>
    <t>Leonila Burchette  </t>
  </si>
  <si>
    <t>Wai Sautner  </t>
  </si>
  <si>
    <t>Lilliam Cover  </t>
  </si>
  <si>
    <t>Winnie Coriell  </t>
  </si>
  <si>
    <t>Romona Jungers  </t>
  </si>
  <si>
    <t>Aracelis Heffington  </t>
  </si>
  <si>
    <t>Jodie Barnard  </t>
  </si>
  <si>
    <t>Brittney Barbara  </t>
  </si>
  <si>
    <t>Rosia Ingrassia  </t>
  </si>
  <si>
    <t>Chong Garrett  </t>
  </si>
  <si>
    <t>Everett Hagar  </t>
  </si>
  <si>
    <t>Aurelio Cagle  </t>
  </si>
  <si>
    <t>Carmen Lawley  </t>
  </si>
  <si>
    <t>Salome Candela  </t>
  </si>
  <si>
    <t>Carrol Gerken  </t>
  </si>
  <si>
    <t>Eufemia Hamman  </t>
  </si>
  <si>
    <t>Lanette Fischer  </t>
  </si>
  <si>
    <t>Augustus Skillings  </t>
  </si>
  <si>
    <t>Carleen Rempel  </t>
  </si>
  <si>
    <t>Velva Mcquay  </t>
  </si>
  <si>
    <t>Clinton Rusin  </t>
  </si>
  <si>
    <t>Gricelda Rodenberger</t>
  </si>
  <si>
    <t>Employee Names</t>
  </si>
  <si>
    <t>Upper Case</t>
  </si>
  <si>
    <t>Lower Case</t>
  </si>
  <si>
    <t>Proper</t>
  </si>
  <si>
    <t>Trim</t>
  </si>
  <si>
    <t>PROPER + TRIM</t>
  </si>
  <si>
    <t>TRIM + PROPER</t>
  </si>
  <si>
    <t xml:space="preserve">       raHul    sHah  </t>
  </si>
  <si>
    <t>Payal MEHta</t>
  </si>
  <si>
    <t>Rita ShaH</t>
  </si>
  <si>
    <t>Neha Mishra</t>
  </si>
  <si>
    <t xml:space="preserve">  tanVi Sharma</t>
  </si>
  <si>
    <t>kanci NagoRI</t>
  </si>
  <si>
    <t>RahUl  ShAh</t>
  </si>
  <si>
    <t>PaYal mehta</t>
  </si>
  <si>
    <t>RitA Mishra</t>
  </si>
  <si>
    <t>neha   mishra</t>
  </si>
  <si>
    <t>CURRENT DATE</t>
  </si>
  <si>
    <t>CURRENT TIME</t>
  </si>
  <si>
    <t>DATE TO WORD</t>
  </si>
  <si>
    <t>WORD</t>
  </si>
  <si>
    <t>AISHYEE</t>
  </si>
  <si>
    <t>Albert Einstein</t>
  </si>
  <si>
    <t>Data</t>
  </si>
  <si>
    <t>Ram</t>
  </si>
  <si>
    <t>Shyam</t>
  </si>
  <si>
    <t>COUNT A</t>
  </si>
  <si>
    <t>COUNT</t>
  </si>
  <si>
    <t>COUNTBLANK</t>
  </si>
  <si>
    <t>Item</t>
  </si>
  <si>
    <t xml:space="preserve"> Date </t>
  </si>
  <si>
    <t>Cost</t>
  </si>
  <si>
    <t>B</t>
  </si>
  <si>
    <t>Jan</t>
  </si>
  <si>
    <t>T</t>
  </si>
  <si>
    <t>May</t>
  </si>
  <si>
    <t>Feb</t>
  </si>
  <si>
    <t>M</t>
  </si>
  <si>
    <t>Mar</t>
  </si>
  <si>
    <t>W</t>
  </si>
  <si>
    <t>Jun</t>
  </si>
  <si>
    <t>Apr</t>
  </si>
  <si>
    <t>How many "B" items have been bought?</t>
  </si>
  <si>
    <t>How many "T" items have been bought?</t>
  </si>
  <si>
    <t>How many items cost 100 or above?</t>
  </si>
  <si>
    <t>Total cost of all B bought</t>
  </si>
  <si>
    <t>Total cost of all T bought</t>
  </si>
  <si>
    <t>Total of items costing 100 or more</t>
  </si>
  <si>
    <t>Product 1</t>
  </si>
  <si>
    <t>Product 2</t>
  </si>
  <si>
    <t>Product 3</t>
  </si>
  <si>
    <t>Product 4</t>
  </si>
  <si>
    <t>Product 5</t>
  </si>
  <si>
    <t>LOOKUP PRODUCT</t>
  </si>
  <si>
    <t>PRODUCT 4</t>
  </si>
  <si>
    <t>PRICE</t>
  </si>
  <si>
    <t xml:space="preserve">LOOKUP PRODUCT </t>
  </si>
  <si>
    <t>PRODUCT 2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</si>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</sst>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"/>
    <numFmt numFmtId="165" formatCode="_-[$$-409]* #,##0_ ;_-[$$-409]* \-#,##0\ ;_-[$$-409]* &quot;-&quot;??_ ;_-@_ "/>
    <numFmt numFmtId="166" formatCode="_(&quot;$&quot;* #,##0.00_);_(&quot;$&quot;* \(#,##0.00\);_(&quot;$&quot;* &quot;-&quot;??_);_(@_)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  <font>
      <b/>
      <sz val="11"/>
      <name val="Cambria"/>
    </font>
    <font>
      <sz val="12"/>
      <name val="Cambria"/>
    </font>
    <font>
      <b/>
      <sz val="12"/>
      <name val="Cambria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FF"/>
        <bgColor rgb="FFCCFFFF"/>
      </patternFill>
    </fill>
    <fill>
      <patternFill patternType="solid">
        <fgColor theme="3" tint="0.79998168889431442"/>
        <bgColor rgb="FFCCFFFF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FF0000"/>
      </top>
      <bottom/>
      <diagonal/>
    </border>
    <border>
      <left/>
      <right/>
      <top/>
      <bottom style="medium">
        <color rgb="FFFF0000"/>
      </bottom>
      <diagonal/>
    </border>
    <border>
      <left style="thin">
        <color rgb="FF9CC2E5"/>
      </left>
      <right/>
      <top style="medium">
        <color rgb="FFFF0000"/>
      </top>
      <bottom/>
      <diagonal/>
    </border>
    <border>
      <left/>
      <right style="thin">
        <color rgb="FF9CC2E5"/>
      </right>
      <top style="medium">
        <color rgb="FFFF0000"/>
      </top>
      <bottom/>
      <diagonal/>
    </border>
    <border>
      <left style="thin">
        <color rgb="FF9CC2E5"/>
      </left>
      <right/>
      <top style="thin">
        <color rgb="FF9CC2E5"/>
      </top>
      <bottom/>
      <diagonal/>
    </border>
    <border>
      <left/>
      <right/>
      <top style="thin">
        <color rgb="FF9CC2E5"/>
      </top>
      <bottom/>
      <diagonal/>
    </border>
    <border>
      <left/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/>
      <top style="thin">
        <color rgb="FF9CC2E5"/>
      </top>
      <bottom style="medium">
        <color rgb="FFFF0000"/>
      </bottom>
      <diagonal/>
    </border>
    <border>
      <left/>
      <right/>
      <top style="thin">
        <color rgb="FF9CC2E5"/>
      </top>
      <bottom style="medium">
        <color rgb="FFFF0000"/>
      </bottom>
      <diagonal/>
    </border>
    <border>
      <left/>
      <right style="thin">
        <color rgb="FF9CC2E5"/>
      </right>
      <top style="thin">
        <color rgb="FF9CC2E5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7" xfId="0" applyNumberFormat="1" applyBorder="1"/>
    <xf numFmtId="0" fontId="0" fillId="0" borderId="0" xfId="0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" fillId="5" borderId="0" xfId="0" applyFont="1" applyFill="1"/>
    <xf numFmtId="0" fontId="0" fillId="6" borderId="1" xfId="0" applyFill="1" applyBorder="1"/>
    <xf numFmtId="0" fontId="0" fillId="6" borderId="0" xfId="0" applyFill="1"/>
    <xf numFmtId="0" fontId="0" fillId="6" borderId="2" xfId="0" applyFill="1" applyBorder="1"/>
    <xf numFmtId="0" fontId="0" fillId="6" borderId="3" xfId="0" applyFill="1" applyBorder="1"/>
    <xf numFmtId="0" fontId="0" fillId="6" borderId="6" xfId="0" applyFill="1" applyBorder="1"/>
    <xf numFmtId="0" fontId="0" fillId="6" borderId="7" xfId="0" applyFill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/>
    <xf numFmtId="0" fontId="4" fillId="7" borderId="10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2" borderId="12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4" xfId="0" applyFont="1" applyBorder="1"/>
    <xf numFmtId="0" fontId="5" fillId="8" borderId="12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 wrapText="1"/>
    </xf>
    <xf numFmtId="0" fontId="5" fillId="11" borderId="12" xfId="0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horizontal="center" vertical="center"/>
    </xf>
    <xf numFmtId="0" fontId="5" fillId="13" borderId="12" xfId="0" applyFont="1" applyFill="1" applyBorder="1" applyAlignment="1">
      <alignment horizontal="center" vertical="center"/>
    </xf>
    <xf numFmtId="0" fontId="4" fillId="0" borderId="13" xfId="0" applyFont="1" applyBorder="1"/>
    <xf numFmtId="0" fontId="4" fillId="0" borderId="14" xfId="0" applyFont="1" applyBorder="1"/>
    <xf numFmtId="0" fontId="4" fillId="8" borderId="12" xfId="0" applyFont="1" applyFill="1" applyBorder="1" applyAlignment="1">
      <alignment horizontal="center" vertical="center"/>
    </xf>
    <xf numFmtId="0" fontId="6" fillId="0" borderId="0" xfId="0" applyFont="1"/>
    <xf numFmtId="0" fontId="6" fillId="0" borderId="12" xfId="0" applyFont="1" applyBorder="1"/>
    <xf numFmtId="0" fontId="6" fillId="0" borderId="10" xfId="0" applyFont="1" applyBorder="1"/>
    <xf numFmtId="0" fontId="7" fillId="0" borderId="12" xfId="0" applyFont="1" applyBorder="1"/>
    <xf numFmtId="0" fontId="7" fillId="0" borderId="10" xfId="0" applyFont="1" applyBorder="1"/>
    <xf numFmtId="14" fontId="0" fillId="0" borderId="0" xfId="0" applyNumberFormat="1" applyAlignment="1">
      <alignment horizontal="center"/>
    </xf>
    <xf numFmtId="0" fontId="8" fillId="11" borderId="16" xfId="0" applyFont="1" applyFill="1" applyBorder="1"/>
    <xf numFmtId="0" fontId="7" fillId="0" borderId="17" xfId="0" applyFont="1" applyBorder="1"/>
    <xf numFmtId="0" fontId="7" fillId="0" borderId="0" xfId="0" applyFont="1"/>
    <xf numFmtId="0" fontId="7" fillId="0" borderId="18" xfId="0" applyFont="1" applyBorder="1"/>
    <xf numFmtId="0" fontId="8" fillId="0" borderId="19" xfId="0" applyFont="1" applyBorder="1"/>
    <xf numFmtId="0" fontId="8" fillId="0" borderId="17" xfId="0" applyFont="1" applyBorder="1"/>
    <xf numFmtId="0" fontId="8" fillId="0" borderId="20" xfId="0" applyFont="1" applyBorder="1"/>
    <xf numFmtId="0" fontId="7" fillId="14" borderId="21" xfId="0" applyFont="1" applyFill="1" applyBorder="1"/>
    <xf numFmtId="0" fontId="7" fillId="14" borderId="22" xfId="0" applyFont="1" applyFill="1" applyBorder="1"/>
    <xf numFmtId="0" fontId="7" fillId="14" borderId="23" xfId="0" applyFont="1" applyFill="1" applyBorder="1"/>
    <xf numFmtId="0" fontId="7" fillId="0" borderId="21" xfId="0" applyFont="1" applyBorder="1"/>
    <xf numFmtId="0" fontId="7" fillId="0" borderId="22" xfId="0" applyFont="1" applyBorder="1"/>
    <xf numFmtId="0" fontId="7" fillId="0" borderId="23" xfId="0" applyFont="1" applyBorder="1"/>
    <xf numFmtId="0" fontId="7" fillId="14" borderId="24" xfId="0" applyFont="1" applyFill="1" applyBorder="1"/>
    <xf numFmtId="0" fontId="7" fillId="14" borderId="25" xfId="0" applyFont="1" applyFill="1" applyBorder="1"/>
    <xf numFmtId="0" fontId="7" fillId="14" borderId="26" xfId="0" applyFont="1" applyFill="1" applyBorder="1"/>
    <xf numFmtId="0" fontId="0" fillId="15" borderId="0" xfId="0" applyFill="1"/>
    <xf numFmtId="0" fontId="7" fillId="16" borderId="12" xfId="0" applyFont="1" applyFill="1" applyBorder="1"/>
    <xf numFmtId="0" fontId="7" fillId="17" borderId="27" xfId="0" applyFont="1" applyFill="1" applyBorder="1"/>
    <xf numFmtId="165" fontId="7" fillId="17" borderId="27" xfId="0" applyNumberFormat="1" applyFont="1" applyFill="1" applyBorder="1"/>
    <xf numFmtId="0" fontId="7" fillId="17" borderId="12" xfId="0" applyFont="1" applyFill="1" applyBorder="1"/>
    <xf numFmtId="165" fontId="7" fillId="17" borderId="12" xfId="0" applyNumberFormat="1" applyFont="1" applyFill="1" applyBorder="1"/>
    <xf numFmtId="0" fontId="7" fillId="17" borderId="0" xfId="0" applyFont="1" applyFill="1"/>
    <xf numFmtId="166" fontId="7" fillId="16" borderId="12" xfId="0" applyNumberFormat="1" applyFont="1" applyFill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15" xfId="0" applyFont="1" applyBorder="1"/>
    <xf numFmtId="0" fontId="4" fillId="8" borderId="10" xfId="0" applyFont="1" applyFill="1" applyBorder="1" applyAlignment="1">
      <alignment horizontal="center" vertical="center"/>
    </xf>
    <xf numFmtId="0" fontId="4" fillId="0" borderId="11" xfId="0" applyFont="1" applyBorder="1"/>
    <xf numFmtId="0" fontId="8" fillId="11" borderId="0" xfId="0" applyFont="1" applyFill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none"/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none"/>
      </fill>
    </dxf>
  </dxfs>
  <tableStyles count="2" defaultTableStyle="TableStyleMedium2" defaultPivotStyle="PivotStyleLight16">
    <tableStyle name="2. Summarizing Functions-style" pivot="0" count="3" xr9:uid="{0E8B54A1-B1EA-47AB-9E10-7F807D9210B8}">
      <tableStyleElement type="headerRow" dxfId="13"/>
      <tableStyleElement type="firstRowStripe" dxfId="12"/>
      <tableStyleElement type="secondRowStripe" dxfId="11"/>
    </tableStyle>
    <tableStyle name="3. Text Functions-style" pivot="0" count="3" xr9:uid="{5EA50223-2BC2-4BC8-BB86-835C490B8C01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5 POINT SUMMARY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5 POINT SUMMARY</a:t>
          </a:r>
        </a:p>
      </cx:txPr>
    </cx:title>
    <cx:plotArea>
      <cx:plotAreaRegion>
        <cx:series layoutId="boxWhisker" uniqueId="{924E27FF-9C3F-4DD8-910C-26D76021BE9A}">
          <cx:tx>
            <cx:txData>
              <cx:f>_xlchart.v1.0</cx:f>
              <cx:v>Men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37CE0E3-8024-4723-BADE-514B7EA72DB1}">
          <cx:tx>
            <cx:txData>
              <cx:f>_xlchart.v1.2</cx:f>
              <cx:v>Women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0</xdr:row>
      <xdr:rowOff>71437</xdr:rowOff>
    </xdr:from>
    <xdr:to>
      <xdr:col>10</xdr:col>
      <xdr:colOff>85725</xdr:colOff>
      <xdr:row>13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9C56D81-EEC8-C62B-72BF-2139A06999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24125" y="71437"/>
              <a:ext cx="4105275" cy="24812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096F9D-5062-4D88-8EAC-176DADE46A8D}" name="Table3" displayName="Table3" ref="C15:E20" totalsRowShown="0">
  <autoFilter ref="C15:E20" xr:uid="{6B096F9D-5062-4D88-8EAC-176DADE46A8D}"/>
  <tableColumns count="3">
    <tableColumn id="1" xr3:uid="{0E7F277F-4CB2-4187-8E5C-35519B6A253A}" name="Attributes"/>
    <tableColumn id="2" xr3:uid="{D3C8DB81-2F99-49E0-AD5C-6B710DA60301}" name="Men" dataDxfId="7">
      <calculatedColumnFormula>AVERAGE(M3:M24)</calculatedColumnFormula>
    </tableColumn>
    <tableColumn id="3" xr3:uid="{02D6DA4D-6146-4BBF-9405-528239101AF8}" name="Women" dataDxfId="6">
      <calculatedColumnFormula>AVERAGE(N3:N33)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26A081-DA6F-490C-AE9A-F4C6AA798D7D}" name="Table_3" displayName="Table_3" ref="A2:G12">
  <tableColumns count="7">
    <tableColumn id="1" xr3:uid="{D89A8222-03FF-4DDD-B48E-25982610A00F}" name="Employee Names"/>
    <tableColumn id="2" xr3:uid="{F6E751D7-75F4-4C5A-81C3-1D28B6A79AC4}" name="Upper Case" dataDxfId="5">
      <calculatedColumnFormula>UPPER(Table_3[Employee Names])</calculatedColumnFormula>
    </tableColumn>
    <tableColumn id="3" xr3:uid="{0AAD0CF8-3F61-44F6-9926-A43CD393DDC5}" name="Lower Case" dataDxfId="4">
      <calculatedColumnFormula>LOWER(Table_3[Employee Names])</calculatedColumnFormula>
    </tableColumn>
    <tableColumn id="4" xr3:uid="{937B5E51-0D50-4B91-B8C0-79E694D21548}" name="Proper" dataDxfId="3">
      <calculatedColumnFormula>PROPER(Table_3[Employee Names])</calculatedColumnFormula>
    </tableColumn>
    <tableColumn id="5" xr3:uid="{0B6D902F-1525-4689-BB47-67C42D957665}" name="Trim" dataDxfId="2">
      <calculatedColumnFormula>TRIM(Table_3[Employee Names])</calculatedColumnFormula>
    </tableColumn>
    <tableColumn id="6" xr3:uid="{C70CF23A-3571-44B3-8DB6-91A9150E671E}" name="PROPER + TRIM" dataDxfId="1">
      <calculatedColumnFormula>PROPER(TRIM(Table_3[Employee Names]))</calculatedColumnFormula>
    </tableColumn>
    <tableColumn id="7" xr3:uid="{0AAF64FE-E5E8-4BD3-A5EB-54CC3BA4C5E9}" name="TRIM + PROPER" dataDxfId="0">
      <calculatedColumnFormula>TRIM(PROPER(A3:A11))</calculatedColumnFormula>
    </tableColumn>
  </tableColumns>
  <tableStyleInfo name="3. Text Function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F6A493-5C09-486A-BD5E-6FC4C62DB4E9}" name="Table_1" displayName="Table_1" ref="F2:H11">
  <tableColumns count="3">
    <tableColumn id="1" xr3:uid="{EF170F65-ED0E-427B-91DE-7128DA5FBF59}" name="Item"/>
    <tableColumn id="2" xr3:uid="{DC028210-2B2E-4464-8589-72E79D394AA6}" name=" Date "/>
    <tableColumn id="3" xr3:uid="{3DBA2F7E-9D15-4628-AA6E-F3C6687553EF}" name="Cost"/>
  </tableColumns>
  <tableStyleInfo name="2. Summarizing Function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A154-F77A-48E8-929F-020C21C6E497}">
  <dimension ref="A1:F10"/>
  <sheetViews>
    <sheetView workbookViewId="0">
      <selection activeCell="C11" sqref="C11"/>
    </sheetView>
  </sheetViews>
  <sheetFormatPr defaultRowHeight="15"/>
  <cols>
    <col min="2" max="2" width="11.5703125" customWidth="1"/>
    <col min="3" max="3" width="14.28515625" bestFit="1" customWidth="1"/>
    <col min="4" max="4" width="17" customWidth="1"/>
    <col min="11" max="11" width="14.28515625" bestFit="1" customWidth="1"/>
  </cols>
  <sheetData>
    <row r="1" spans="1:6">
      <c r="A1" s="14" t="s">
        <v>0</v>
      </c>
      <c r="B1" s="14" t="s">
        <v>6</v>
      </c>
      <c r="C1" s="14" t="s">
        <v>9</v>
      </c>
      <c r="D1" s="14" t="s">
        <v>10</v>
      </c>
      <c r="E1" s="14" t="s">
        <v>11</v>
      </c>
      <c r="F1" s="14" t="s">
        <v>12</v>
      </c>
    </row>
    <row r="2" spans="1:6">
      <c r="A2" t="s">
        <v>1</v>
      </c>
      <c r="B2">
        <v>4</v>
      </c>
      <c r="C2">
        <v>10</v>
      </c>
      <c r="D2">
        <v>15</v>
      </c>
      <c r="E2">
        <f>(C2+D2)/2</f>
        <v>12.5</v>
      </c>
      <c r="F2">
        <f>B2*E2</f>
        <v>50</v>
      </c>
    </row>
    <row r="3" spans="1:6">
      <c r="A3" s="1" t="s">
        <v>2</v>
      </c>
      <c r="B3" s="1">
        <v>8</v>
      </c>
      <c r="C3">
        <v>15</v>
      </c>
      <c r="D3">
        <v>20</v>
      </c>
      <c r="E3">
        <f t="shared" ref="E3:E6" si="0">(C3+D3)/2</f>
        <v>17.5</v>
      </c>
      <c r="F3">
        <f t="shared" ref="F3:F6" si="1">B3*E3</f>
        <v>140</v>
      </c>
    </row>
    <row r="4" spans="1:6">
      <c r="A4" t="s">
        <v>3</v>
      </c>
      <c r="B4">
        <v>5</v>
      </c>
      <c r="C4">
        <v>20</v>
      </c>
      <c r="D4">
        <v>25</v>
      </c>
      <c r="E4">
        <f t="shared" si="0"/>
        <v>22.5</v>
      </c>
      <c r="F4">
        <f t="shared" si="1"/>
        <v>112.5</v>
      </c>
    </row>
    <row r="5" spans="1:6">
      <c r="A5" t="s">
        <v>4</v>
      </c>
      <c r="B5">
        <v>2</v>
      </c>
      <c r="C5">
        <v>25</v>
      </c>
      <c r="D5">
        <v>30</v>
      </c>
      <c r="E5">
        <f t="shared" si="0"/>
        <v>27.5</v>
      </c>
      <c r="F5">
        <f t="shared" si="1"/>
        <v>55</v>
      </c>
    </row>
    <row r="6" spans="1:6">
      <c r="A6" t="s">
        <v>5</v>
      </c>
      <c r="B6">
        <v>1</v>
      </c>
      <c r="C6">
        <v>30</v>
      </c>
      <c r="D6">
        <v>35</v>
      </c>
      <c r="E6">
        <f t="shared" si="0"/>
        <v>32.5</v>
      </c>
      <c r="F6">
        <f t="shared" si="1"/>
        <v>32.5</v>
      </c>
    </row>
    <row r="7" spans="1:6">
      <c r="A7" s="15"/>
      <c r="B7" s="16">
        <f>SUM(B2:B6)</f>
        <v>20</v>
      </c>
      <c r="C7" s="15"/>
      <c r="D7" s="15"/>
      <c r="E7" s="16">
        <f>SUM(E2:E6)</f>
        <v>112.5</v>
      </c>
      <c r="F7" s="16">
        <f>SUM(F2:F6)</f>
        <v>390</v>
      </c>
    </row>
    <row r="9" spans="1:6" ht="15.75" thickBot="1"/>
    <row r="10" spans="1:6" ht="15.75" thickBot="1">
      <c r="A10" s="11" t="s">
        <v>13</v>
      </c>
      <c r="B10" s="12">
        <f>F7/B7</f>
        <v>19.5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86B3D-DB1D-442B-ABA4-0315D0641B0D}">
  <dimension ref="A1:V20"/>
  <sheetViews>
    <sheetView workbookViewId="0">
      <selection activeCell="I10" sqref="I10"/>
    </sheetView>
  </sheetViews>
  <sheetFormatPr defaultRowHeight="15"/>
  <cols>
    <col min="1" max="1" width="13.42578125" customWidth="1"/>
    <col min="2" max="2" width="19.42578125" customWidth="1"/>
    <col min="3" max="3" width="19.140625" bestFit="1" customWidth="1"/>
    <col min="4" max="4" width="15.28515625" customWidth="1"/>
  </cols>
  <sheetData>
    <row r="1" spans="1:5">
      <c r="A1" s="15" t="s">
        <v>0</v>
      </c>
      <c r="B1" s="15" t="s">
        <v>7</v>
      </c>
      <c r="C1" s="15" t="s">
        <v>8</v>
      </c>
      <c r="D1" s="15" t="s">
        <v>6</v>
      </c>
      <c r="E1" s="15" t="s">
        <v>16</v>
      </c>
    </row>
    <row r="2" spans="1:5">
      <c r="A2" t="s">
        <v>1</v>
      </c>
      <c r="B2">
        <v>10</v>
      </c>
      <c r="C2">
        <v>15</v>
      </c>
      <c r="D2">
        <v>4</v>
      </c>
      <c r="E2">
        <v>4</v>
      </c>
    </row>
    <row r="3" spans="1:5">
      <c r="A3" t="s">
        <v>2</v>
      </c>
      <c r="B3" s="17">
        <v>15</v>
      </c>
      <c r="C3" s="17">
        <v>20</v>
      </c>
      <c r="D3" s="17">
        <v>8</v>
      </c>
      <c r="E3" s="18">
        <f>D3+E2</f>
        <v>12</v>
      </c>
    </row>
    <row r="4" spans="1:5">
      <c r="A4" t="s">
        <v>3</v>
      </c>
      <c r="B4" s="17">
        <v>20</v>
      </c>
      <c r="C4" s="17">
        <v>25</v>
      </c>
      <c r="D4" s="17">
        <v>5</v>
      </c>
      <c r="E4" s="18">
        <f t="shared" ref="E4:E6" si="0">D4+E3</f>
        <v>17</v>
      </c>
    </row>
    <row r="5" spans="1:5">
      <c r="A5" t="s">
        <v>4</v>
      </c>
      <c r="B5">
        <v>25</v>
      </c>
      <c r="C5">
        <v>30</v>
      </c>
      <c r="D5">
        <v>2</v>
      </c>
      <c r="E5">
        <f t="shared" si="0"/>
        <v>19</v>
      </c>
    </row>
    <row r="6" spans="1:5">
      <c r="A6" t="s">
        <v>5</v>
      </c>
      <c r="B6">
        <v>30</v>
      </c>
      <c r="C6">
        <v>35</v>
      </c>
      <c r="D6">
        <v>1</v>
      </c>
      <c r="E6">
        <f t="shared" si="0"/>
        <v>20</v>
      </c>
    </row>
    <row r="7" spans="1:5">
      <c r="A7" s="15"/>
      <c r="B7" s="15"/>
      <c r="C7" s="15"/>
      <c r="D7" s="15">
        <f>SUM(D2:D6)</f>
        <v>20</v>
      </c>
      <c r="E7" s="15"/>
    </row>
    <row r="10" spans="1:5">
      <c r="A10" s="75" t="s">
        <v>29</v>
      </c>
      <c r="B10" s="75"/>
      <c r="C10" s="13" t="s">
        <v>33</v>
      </c>
    </row>
    <row r="11" spans="1:5">
      <c r="A11" t="s">
        <v>17</v>
      </c>
      <c r="B11">
        <v>20</v>
      </c>
      <c r="C11">
        <v>20</v>
      </c>
    </row>
    <row r="12" spans="1:5">
      <c r="A12" t="s">
        <v>34</v>
      </c>
      <c r="B12">
        <v>10</v>
      </c>
      <c r="C12">
        <f>(3*B11)/4</f>
        <v>15</v>
      </c>
    </row>
    <row r="13" spans="1:5">
      <c r="A13" t="s">
        <v>16</v>
      </c>
      <c r="B13">
        <v>4</v>
      </c>
      <c r="C13">
        <v>12</v>
      </c>
    </row>
    <row r="14" spans="1:5">
      <c r="A14" t="s">
        <v>18</v>
      </c>
      <c r="B14">
        <v>8</v>
      </c>
      <c r="C14">
        <v>5</v>
      </c>
    </row>
    <row r="15" spans="1:5">
      <c r="A15" t="s">
        <v>19</v>
      </c>
      <c r="B15">
        <v>15</v>
      </c>
      <c r="C15">
        <v>20</v>
      </c>
    </row>
    <row r="16" spans="1:5">
      <c r="A16" t="s">
        <v>20</v>
      </c>
      <c r="B16" s="10" t="s">
        <v>2</v>
      </c>
      <c r="C16" s="10" t="s">
        <v>3</v>
      </c>
    </row>
    <row r="17" spans="1:22">
      <c r="A17" t="s">
        <v>21</v>
      </c>
      <c r="B17">
        <v>5</v>
      </c>
      <c r="C17">
        <v>5</v>
      </c>
      <c r="S17" s="2"/>
      <c r="T17" s="2"/>
      <c r="U17" s="2"/>
      <c r="V17" s="2"/>
    </row>
    <row r="18" spans="1:22" ht="15.75" thickBot="1">
      <c r="S18" s="2"/>
      <c r="T18" s="2"/>
      <c r="U18" s="2"/>
      <c r="V18" s="2"/>
    </row>
    <row r="19" spans="1:22">
      <c r="A19" s="19" t="s">
        <v>22</v>
      </c>
      <c r="B19" s="20">
        <f>B15+((B12-B13)/B14)*B17</f>
        <v>18.75</v>
      </c>
      <c r="S19" s="3"/>
      <c r="T19" s="1"/>
      <c r="U19" s="1"/>
      <c r="V19" s="2"/>
    </row>
    <row r="20" spans="1:22" ht="15.75" thickBot="1">
      <c r="A20" s="21" t="s">
        <v>23</v>
      </c>
      <c r="B20" s="22">
        <f>C15+((C12-C13)/C14)*5</f>
        <v>23</v>
      </c>
      <c r="S20" s="2"/>
      <c r="T20" s="2"/>
      <c r="U20" s="2"/>
      <c r="V20" s="2"/>
    </row>
  </sheetData>
  <mergeCells count="1">
    <mergeCell ref="A10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523B-1ACA-47E0-BD62-8BF917C13B08}">
  <dimension ref="A1:B20"/>
  <sheetViews>
    <sheetView workbookViewId="0">
      <selection activeCell="F12" sqref="F12"/>
    </sheetView>
  </sheetViews>
  <sheetFormatPr defaultRowHeight="15"/>
  <cols>
    <col min="1" max="1" width="23.7109375" bestFit="1" customWidth="1"/>
    <col min="2" max="2" width="10" customWidth="1"/>
  </cols>
  <sheetData>
    <row r="1" spans="1:2">
      <c r="A1" s="14" t="s">
        <v>0</v>
      </c>
      <c r="B1" s="14" t="s">
        <v>6</v>
      </c>
    </row>
    <row r="2" spans="1:2">
      <c r="A2" t="s">
        <v>1</v>
      </c>
      <c r="B2">
        <v>4</v>
      </c>
    </row>
    <row r="3" spans="1:2">
      <c r="A3" s="18" t="s">
        <v>2</v>
      </c>
      <c r="B3" s="18">
        <v>8</v>
      </c>
    </row>
    <row r="4" spans="1:2">
      <c r="A4" t="s">
        <v>3</v>
      </c>
      <c r="B4">
        <v>5</v>
      </c>
    </row>
    <row r="5" spans="1:2">
      <c r="A5" t="s">
        <v>4</v>
      </c>
      <c r="B5">
        <v>2</v>
      </c>
    </row>
    <row r="6" spans="1:2">
      <c r="A6" t="s">
        <v>5</v>
      </c>
      <c r="B6">
        <v>1</v>
      </c>
    </row>
    <row r="7" spans="1:2">
      <c r="A7" s="14"/>
      <c r="B7" s="14">
        <f>SUM(B2:B6)</f>
        <v>20</v>
      </c>
    </row>
    <row r="12" spans="1:2">
      <c r="A12" t="s">
        <v>24</v>
      </c>
      <c r="B12">
        <v>8</v>
      </c>
    </row>
    <row r="13" spans="1:2">
      <c r="A13" t="s">
        <v>25</v>
      </c>
      <c r="B13">
        <v>15</v>
      </c>
    </row>
    <row r="14" spans="1:2">
      <c r="A14" t="s">
        <v>26</v>
      </c>
      <c r="B14">
        <v>4</v>
      </c>
    </row>
    <row r="15" spans="1:2">
      <c r="A15" t="s">
        <v>27</v>
      </c>
      <c r="B15">
        <v>5</v>
      </c>
    </row>
    <row r="16" spans="1:2">
      <c r="A16" t="s">
        <v>21</v>
      </c>
      <c r="B16">
        <v>5</v>
      </c>
    </row>
    <row r="19" spans="1:2" ht="15.75" thickBot="1"/>
    <row r="20" spans="1:2" ht="15.75" thickBot="1">
      <c r="A20" s="11" t="s">
        <v>28</v>
      </c>
      <c r="B20" s="12">
        <f>B13+((B12-B14)/2*B12-B14-B15)*B16</f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03AD6-985F-4AD4-8726-B016173F9F89}">
  <dimension ref="A2:I15"/>
  <sheetViews>
    <sheetView workbookViewId="0">
      <selection activeCell="D16" sqref="D16"/>
    </sheetView>
  </sheetViews>
  <sheetFormatPr defaultRowHeight="15"/>
  <cols>
    <col min="2" max="2" width="10.28515625" bestFit="1" customWidth="1"/>
    <col min="3" max="3" width="18" bestFit="1" customWidth="1"/>
    <col min="4" max="4" width="17.42578125" bestFit="1" customWidth="1"/>
    <col min="5" max="5" width="11.7109375" customWidth="1"/>
    <col min="6" max="6" width="14.28515625" customWidth="1"/>
    <col min="8" max="8" width="11.7109375" bestFit="1" customWidth="1"/>
    <col min="9" max="9" width="13.28515625" bestFit="1" customWidth="1"/>
    <col min="13" max="13" width="10.28515625" bestFit="1" customWidth="1"/>
    <col min="18" max="18" width="10.85546875" bestFit="1" customWidth="1"/>
    <col min="19" max="19" width="12.140625" bestFit="1" customWidth="1"/>
  </cols>
  <sheetData>
    <row r="2" spans="1:9">
      <c r="A2" s="18" t="s">
        <v>0</v>
      </c>
      <c r="B2" s="18" t="s">
        <v>6</v>
      </c>
      <c r="C2" s="18" t="s">
        <v>35</v>
      </c>
      <c r="D2" s="18" t="s">
        <v>36</v>
      </c>
      <c r="E2" s="18" t="s">
        <v>11</v>
      </c>
      <c r="F2" s="18" t="s">
        <v>12</v>
      </c>
      <c r="G2" s="18" t="s">
        <v>30</v>
      </c>
      <c r="H2" s="18" t="s">
        <v>31</v>
      </c>
      <c r="I2" s="18" t="s">
        <v>32</v>
      </c>
    </row>
    <row r="3" spans="1:9">
      <c r="A3" t="s">
        <v>1</v>
      </c>
      <c r="B3">
        <v>4</v>
      </c>
      <c r="C3">
        <v>10</v>
      </c>
      <c r="D3">
        <v>15</v>
      </c>
      <c r="E3">
        <f>(C3+D3)/2</f>
        <v>12.5</v>
      </c>
      <c r="F3">
        <f>E3*B3</f>
        <v>50</v>
      </c>
      <c r="G3">
        <f>E3-$B$13</f>
        <v>-7</v>
      </c>
      <c r="H3">
        <f>G3^2</f>
        <v>49</v>
      </c>
      <c r="I3">
        <f>B3*H3</f>
        <v>196</v>
      </c>
    </row>
    <row r="4" spans="1:9">
      <c r="A4" s="1" t="s">
        <v>2</v>
      </c>
      <c r="B4" s="1">
        <v>8</v>
      </c>
      <c r="C4">
        <v>15</v>
      </c>
      <c r="D4">
        <v>20</v>
      </c>
      <c r="E4">
        <f t="shared" ref="E4:E7" si="0">(C4+D4)/2</f>
        <v>17.5</v>
      </c>
      <c r="F4">
        <f t="shared" ref="F4:F7" si="1">E4*B4</f>
        <v>140</v>
      </c>
      <c r="G4">
        <f t="shared" ref="G4:G7" si="2">E4-$B$13</f>
        <v>-2</v>
      </c>
      <c r="H4">
        <f t="shared" ref="H4:H7" si="3">G4^2</f>
        <v>4</v>
      </c>
      <c r="I4">
        <f t="shared" ref="I4:I7" si="4">B4*H4</f>
        <v>32</v>
      </c>
    </row>
    <row r="5" spans="1:9">
      <c r="A5" t="s">
        <v>3</v>
      </c>
      <c r="B5">
        <v>5</v>
      </c>
      <c r="C5">
        <v>20</v>
      </c>
      <c r="D5">
        <v>25</v>
      </c>
      <c r="E5">
        <f t="shared" si="0"/>
        <v>22.5</v>
      </c>
      <c r="F5">
        <f t="shared" si="1"/>
        <v>112.5</v>
      </c>
      <c r="G5">
        <f t="shared" si="2"/>
        <v>3</v>
      </c>
      <c r="H5">
        <f t="shared" si="3"/>
        <v>9</v>
      </c>
      <c r="I5">
        <f t="shared" si="4"/>
        <v>45</v>
      </c>
    </row>
    <row r="6" spans="1:9">
      <c r="A6" t="s">
        <v>4</v>
      </c>
      <c r="B6">
        <v>2</v>
      </c>
      <c r="C6">
        <v>25</v>
      </c>
      <c r="D6">
        <v>30</v>
      </c>
      <c r="E6">
        <f t="shared" si="0"/>
        <v>27.5</v>
      </c>
      <c r="F6">
        <f t="shared" si="1"/>
        <v>55</v>
      </c>
      <c r="G6">
        <f t="shared" si="2"/>
        <v>8</v>
      </c>
      <c r="H6">
        <f t="shared" si="3"/>
        <v>64</v>
      </c>
      <c r="I6">
        <f t="shared" si="4"/>
        <v>128</v>
      </c>
    </row>
    <row r="7" spans="1:9">
      <c r="A7" t="s">
        <v>5</v>
      </c>
      <c r="B7">
        <v>1</v>
      </c>
      <c r="C7">
        <v>30</v>
      </c>
      <c r="D7">
        <v>35</v>
      </c>
      <c r="E7">
        <f t="shared" si="0"/>
        <v>32.5</v>
      </c>
      <c r="F7">
        <f t="shared" si="1"/>
        <v>32.5</v>
      </c>
      <c r="G7">
        <f t="shared" si="2"/>
        <v>13</v>
      </c>
      <c r="H7">
        <f t="shared" si="3"/>
        <v>169</v>
      </c>
      <c r="I7">
        <f t="shared" si="4"/>
        <v>169</v>
      </c>
    </row>
    <row r="8" spans="1:9">
      <c r="B8">
        <f>SUM(B3:B7)</f>
        <v>20</v>
      </c>
      <c r="F8">
        <f>SUM(F3:F7)</f>
        <v>390</v>
      </c>
      <c r="I8">
        <f>SUM(I3:I7)</f>
        <v>570</v>
      </c>
    </row>
    <row r="12" spans="1:9" ht="15.75" thickBot="1"/>
    <row r="13" spans="1:9">
      <c r="A13" s="4" t="s">
        <v>13</v>
      </c>
      <c r="B13" s="5">
        <v>19.5</v>
      </c>
    </row>
    <row r="14" spans="1:9">
      <c r="A14" s="6" t="s">
        <v>14</v>
      </c>
      <c r="B14" s="7">
        <f>I8/B8</f>
        <v>28.5</v>
      </c>
    </row>
    <row r="15" spans="1:9" ht="15.75" thickBot="1">
      <c r="A15" s="8" t="s">
        <v>15</v>
      </c>
      <c r="B15" s="9">
        <f>SQRT(B14)</f>
        <v>5.3385391260156556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75A3-6AAA-4A80-8D4A-A27EDB3EA26D}">
  <dimension ref="C2:R55"/>
  <sheetViews>
    <sheetView tabSelected="1" topLeftCell="A5" workbookViewId="0">
      <selection activeCell="G24" sqref="G24"/>
    </sheetView>
  </sheetViews>
  <sheetFormatPr defaultRowHeight="15"/>
  <cols>
    <col min="3" max="3" width="12.140625" customWidth="1"/>
    <col min="4" max="5" width="11" customWidth="1"/>
    <col min="15" max="15" width="10.7109375" bestFit="1" customWidth="1"/>
  </cols>
  <sheetData>
    <row r="2" spans="3:18" ht="15.75">
      <c r="L2" s="23" t="s">
        <v>37</v>
      </c>
      <c r="M2" s="23" t="s">
        <v>38</v>
      </c>
      <c r="N2" s="23" t="s">
        <v>39</v>
      </c>
      <c r="O2" s="2" t="s">
        <v>40</v>
      </c>
      <c r="Q2" s="13"/>
      <c r="R2" s="13"/>
    </row>
    <row r="3" spans="3:18">
      <c r="L3" s="24">
        <v>1</v>
      </c>
      <c r="M3" s="25">
        <v>65.3</v>
      </c>
      <c r="N3" s="24">
        <v>109.03</v>
      </c>
      <c r="O3" s="25">
        <v>65.3</v>
      </c>
      <c r="R3" s="26"/>
    </row>
    <row r="4" spans="3:18">
      <c r="L4" s="24">
        <v>2</v>
      </c>
      <c r="M4" s="25">
        <v>66.27</v>
      </c>
      <c r="N4" s="24">
        <v>111.22</v>
      </c>
      <c r="O4" s="25">
        <v>66.27</v>
      </c>
      <c r="R4" s="26"/>
    </row>
    <row r="5" spans="3:18">
      <c r="L5" s="24">
        <v>3</v>
      </c>
      <c r="M5" s="25">
        <v>66.52</v>
      </c>
      <c r="N5" s="24">
        <v>111.65</v>
      </c>
      <c r="O5" s="25">
        <v>66.52</v>
      </c>
      <c r="R5" s="26"/>
    </row>
    <row r="6" spans="3:18">
      <c r="L6" s="24">
        <v>4</v>
      </c>
      <c r="M6" s="25">
        <v>66.849999999999994</v>
      </c>
      <c r="N6" s="24">
        <v>111.93</v>
      </c>
      <c r="O6" s="25">
        <v>66.849999999999994</v>
      </c>
      <c r="R6" s="26"/>
    </row>
    <row r="7" spans="3:18">
      <c r="L7" s="24">
        <v>5</v>
      </c>
      <c r="M7" s="25">
        <v>70.87</v>
      </c>
      <c r="N7" s="24">
        <v>114.38</v>
      </c>
      <c r="O7" s="25">
        <v>70.87</v>
      </c>
      <c r="R7" s="26"/>
    </row>
    <row r="8" spans="3:18">
      <c r="L8" s="24">
        <v>6</v>
      </c>
      <c r="M8" s="25">
        <v>87.18</v>
      </c>
      <c r="N8" s="24">
        <v>118.33</v>
      </c>
      <c r="O8" s="25">
        <v>87.18</v>
      </c>
    </row>
    <row r="9" spans="3:18">
      <c r="L9" s="24">
        <v>7</v>
      </c>
      <c r="M9" s="25">
        <v>96.45</v>
      </c>
      <c r="N9" s="24">
        <v>121.25</v>
      </c>
      <c r="O9" s="25">
        <v>96.45</v>
      </c>
    </row>
    <row r="10" spans="3:18">
      <c r="L10" s="24">
        <v>8</v>
      </c>
      <c r="M10" s="25">
        <v>98.52</v>
      </c>
      <c r="N10" s="24">
        <v>122.08</v>
      </c>
      <c r="O10" s="25">
        <v>98.52</v>
      </c>
    </row>
    <row r="11" spans="3:18">
      <c r="L11" s="24">
        <v>9</v>
      </c>
      <c r="M11" s="25">
        <v>100.5</v>
      </c>
      <c r="N11" s="24">
        <v>122.48</v>
      </c>
      <c r="O11" s="25">
        <v>100.5</v>
      </c>
    </row>
    <row r="12" spans="3:18">
      <c r="L12" s="24">
        <v>10</v>
      </c>
      <c r="M12" s="25">
        <v>108.18</v>
      </c>
      <c r="N12" s="24">
        <v>122.62</v>
      </c>
      <c r="O12" s="25">
        <v>108.18</v>
      </c>
    </row>
    <row r="13" spans="3:18">
      <c r="L13" s="24">
        <v>11</v>
      </c>
      <c r="M13" s="25">
        <v>109.05</v>
      </c>
      <c r="N13" s="25">
        <v>123.88</v>
      </c>
      <c r="O13" s="25">
        <v>109.05</v>
      </c>
    </row>
    <row r="14" spans="3:18">
      <c r="L14" s="24">
        <v>12</v>
      </c>
      <c r="M14" s="25">
        <v>110.23</v>
      </c>
      <c r="N14" s="25">
        <v>125.78</v>
      </c>
      <c r="O14" s="25">
        <v>110.23</v>
      </c>
    </row>
    <row r="15" spans="3:18">
      <c r="C15" s="13" t="s">
        <v>42</v>
      </c>
      <c r="D15" s="13" t="s">
        <v>38</v>
      </c>
      <c r="E15" t="s">
        <v>39</v>
      </c>
      <c r="L15" s="24">
        <v>13</v>
      </c>
      <c r="M15" s="25">
        <v>112.9</v>
      </c>
      <c r="N15" s="25">
        <v>129.52000000000001</v>
      </c>
      <c r="O15" s="25">
        <v>112.9</v>
      </c>
    </row>
    <row r="16" spans="3:18">
      <c r="C16" t="s">
        <v>232</v>
      </c>
      <c r="D16" s="26">
        <f>MIN(M3:M24)</f>
        <v>65.3</v>
      </c>
      <c r="E16">
        <f>MIN(N3:N33)</f>
        <v>109.03</v>
      </c>
      <c r="L16" s="24">
        <v>14</v>
      </c>
      <c r="M16" s="25">
        <v>113.52</v>
      </c>
      <c r="N16" s="25">
        <v>129.87</v>
      </c>
      <c r="O16" s="25">
        <v>113.52</v>
      </c>
    </row>
    <row r="17" spans="3:15">
      <c r="C17" t="s">
        <v>22</v>
      </c>
      <c r="D17" s="26">
        <f>MEDIAN(M3:M24)</f>
        <v>109.64</v>
      </c>
      <c r="E17">
        <f>MEDIAN(N3:N33)</f>
        <v>131.66999999999999</v>
      </c>
      <c r="L17" s="24">
        <v>15</v>
      </c>
      <c r="M17" s="25">
        <v>120.95</v>
      </c>
      <c r="N17" s="25">
        <v>130.72</v>
      </c>
      <c r="O17" s="25">
        <v>120.95</v>
      </c>
    </row>
    <row r="18" spans="3:15">
      <c r="C18" t="s">
        <v>41</v>
      </c>
      <c r="D18" s="26">
        <f>_xlfn.QUARTILE.EXC(M3:M24,1)</f>
        <v>83.102500000000006</v>
      </c>
      <c r="E18">
        <f>_xlfn.QUARTILE.EXC(N3:N33,1)</f>
        <v>122.08</v>
      </c>
      <c r="L18" s="24">
        <v>16</v>
      </c>
      <c r="M18" s="25">
        <v>127.98</v>
      </c>
      <c r="N18" s="25">
        <v>131.66999999999999</v>
      </c>
      <c r="O18" s="25">
        <v>127.98</v>
      </c>
    </row>
    <row r="19" spans="3:15">
      <c r="C19" t="s">
        <v>23</v>
      </c>
      <c r="D19" s="26">
        <f>_xlfn.QUARTILE.EXC(M3:M24,3)</f>
        <v>129.02500000000001</v>
      </c>
      <c r="E19">
        <f>_xlfn.QUARTILE.EXC(N3:N33,3)</f>
        <v>147.18</v>
      </c>
      <c r="L19" s="24">
        <v>17</v>
      </c>
      <c r="M19" s="25">
        <v>128.4</v>
      </c>
      <c r="N19" s="25">
        <v>132.03</v>
      </c>
      <c r="O19" s="25">
        <v>128.4</v>
      </c>
    </row>
    <row r="20" spans="3:15">
      <c r="C20" t="s">
        <v>233</v>
      </c>
      <c r="D20" s="26">
        <f>MAX(M3:M24)</f>
        <v>148.69999999999999</v>
      </c>
      <c r="E20">
        <f>MAX(N3:N33)</f>
        <v>189.28</v>
      </c>
      <c r="L20" s="24">
        <v>18</v>
      </c>
      <c r="M20" s="25">
        <v>130.9</v>
      </c>
      <c r="N20" s="25">
        <v>133.19999999999999</v>
      </c>
      <c r="O20" s="25">
        <v>130.9</v>
      </c>
    </row>
    <row r="21" spans="3:15">
      <c r="L21" s="24">
        <v>19</v>
      </c>
      <c r="M21" s="25">
        <v>131.80000000000001</v>
      </c>
      <c r="N21" s="25">
        <v>133.5</v>
      </c>
      <c r="O21" s="25">
        <v>131.80000000000001</v>
      </c>
    </row>
    <row r="22" spans="3:15">
      <c r="D22" s="26"/>
      <c r="L22" s="24">
        <v>20</v>
      </c>
      <c r="M22" s="25">
        <v>138.63</v>
      </c>
      <c r="N22" s="25">
        <v>136.57</v>
      </c>
      <c r="O22" s="25">
        <v>138.63</v>
      </c>
    </row>
    <row r="23" spans="3:15">
      <c r="D23" s="26"/>
      <c r="L23" s="24">
        <v>21</v>
      </c>
      <c r="M23" s="25">
        <v>143.83000000000001</v>
      </c>
      <c r="N23" s="25">
        <v>136.75</v>
      </c>
      <c r="O23" s="25">
        <v>143.83000000000001</v>
      </c>
    </row>
    <row r="24" spans="3:15">
      <c r="D24" s="26"/>
      <c r="L24" s="24">
        <v>22</v>
      </c>
      <c r="M24" s="25">
        <v>148.69999999999999</v>
      </c>
      <c r="N24" s="25">
        <v>138.19999999999999</v>
      </c>
      <c r="O24" s="25">
        <v>148.69999999999999</v>
      </c>
    </row>
    <row r="25" spans="3:15">
      <c r="L25" s="24">
        <v>23</v>
      </c>
      <c r="M25" s="24"/>
      <c r="N25" s="25">
        <v>139</v>
      </c>
      <c r="O25" s="24">
        <v>109.03</v>
      </c>
    </row>
    <row r="26" spans="3:15">
      <c r="L26" s="24">
        <v>24</v>
      </c>
      <c r="M26" s="24"/>
      <c r="N26" s="25">
        <v>147.18</v>
      </c>
      <c r="O26" s="24">
        <v>111.22</v>
      </c>
    </row>
    <row r="27" spans="3:15">
      <c r="L27" s="24">
        <v>25</v>
      </c>
      <c r="M27" s="24"/>
      <c r="N27" s="25">
        <v>147.35</v>
      </c>
      <c r="O27" s="24">
        <v>111.65</v>
      </c>
    </row>
    <row r="28" spans="3:15">
      <c r="L28" s="24">
        <v>26</v>
      </c>
      <c r="M28" s="24"/>
      <c r="N28" s="25">
        <v>147.5</v>
      </c>
      <c r="O28" s="24">
        <v>111.93</v>
      </c>
    </row>
    <row r="29" spans="3:15">
      <c r="L29" s="24">
        <v>27</v>
      </c>
      <c r="M29" s="24"/>
      <c r="N29" s="25">
        <v>147.75</v>
      </c>
      <c r="O29" s="24">
        <v>114.38</v>
      </c>
    </row>
    <row r="30" spans="3:15">
      <c r="L30" s="24">
        <v>28</v>
      </c>
      <c r="M30" s="24"/>
      <c r="N30" s="25">
        <v>153.88</v>
      </c>
      <c r="O30" s="24">
        <v>118.33</v>
      </c>
    </row>
    <row r="31" spans="3:15">
      <c r="L31" s="24">
        <v>29</v>
      </c>
      <c r="M31" s="24"/>
      <c r="N31" s="25">
        <v>154.83000000000001</v>
      </c>
      <c r="O31" s="24">
        <v>121.25</v>
      </c>
    </row>
    <row r="32" spans="3:15">
      <c r="L32" s="24">
        <v>30</v>
      </c>
      <c r="M32" s="24"/>
      <c r="N32" s="25">
        <v>189.27</v>
      </c>
      <c r="O32" s="24">
        <v>122.08</v>
      </c>
    </row>
    <row r="33" spans="12:15">
      <c r="L33" s="24">
        <v>31</v>
      </c>
      <c r="M33" s="24"/>
      <c r="N33" s="25">
        <v>189.28</v>
      </c>
      <c r="O33" s="24">
        <v>122.48</v>
      </c>
    </row>
    <row r="34" spans="12:15">
      <c r="O34" s="24">
        <v>122.62</v>
      </c>
    </row>
    <row r="35" spans="12:15">
      <c r="O35" s="25">
        <v>123.88</v>
      </c>
    </row>
    <row r="36" spans="12:15">
      <c r="O36" s="25">
        <v>125.78</v>
      </c>
    </row>
    <row r="37" spans="12:15">
      <c r="O37" s="25">
        <v>129.52000000000001</v>
      </c>
    </row>
    <row r="38" spans="12:15">
      <c r="O38" s="25">
        <v>129.87</v>
      </c>
    </row>
    <row r="39" spans="12:15">
      <c r="O39" s="25">
        <v>130.72</v>
      </c>
    </row>
    <row r="40" spans="12:15">
      <c r="O40" s="25">
        <v>131.66999999999999</v>
      </c>
    </row>
    <row r="41" spans="12:15">
      <c r="O41" s="25">
        <v>132.03</v>
      </c>
    </row>
    <row r="42" spans="12:15">
      <c r="O42" s="25">
        <v>133.19999999999999</v>
      </c>
    </row>
    <row r="43" spans="12:15">
      <c r="O43" s="25">
        <v>133.5</v>
      </c>
    </row>
    <row r="44" spans="12:15">
      <c r="O44" s="25">
        <v>136.57</v>
      </c>
    </row>
    <row r="45" spans="12:15">
      <c r="O45" s="25">
        <v>136.75</v>
      </c>
    </row>
    <row r="46" spans="12:15">
      <c r="O46" s="25">
        <v>138.19999999999999</v>
      </c>
    </row>
    <row r="47" spans="12:15">
      <c r="O47" s="25">
        <v>139</v>
      </c>
    </row>
    <row r="48" spans="12:15">
      <c r="O48" s="25">
        <v>147.18</v>
      </c>
    </row>
    <row r="49" spans="15:15">
      <c r="O49" s="25">
        <v>147.35</v>
      </c>
    </row>
    <row r="50" spans="15:15">
      <c r="O50" s="25">
        <v>147.5</v>
      </c>
    </row>
    <row r="51" spans="15:15">
      <c r="O51" s="25">
        <v>147.75</v>
      </c>
    </row>
    <row r="52" spans="15:15">
      <c r="O52" s="25">
        <v>153.88</v>
      </c>
    </row>
    <row r="53" spans="15:15">
      <c r="O53" s="25">
        <v>154.83000000000001</v>
      </c>
    </row>
    <row r="54" spans="15:15">
      <c r="O54" s="25">
        <v>189.27</v>
      </c>
    </row>
    <row r="55" spans="15:15">
      <c r="O55" s="25">
        <v>189.28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446C-56EB-41AE-A078-1EC76E1157F7}">
  <dimension ref="A1:P102"/>
  <sheetViews>
    <sheetView workbookViewId="0">
      <selection activeCell="M5" sqref="M5"/>
    </sheetView>
  </sheetViews>
  <sheetFormatPr defaultRowHeight="15"/>
  <cols>
    <col min="10" max="10" width="16.42578125" bestFit="1" customWidth="1"/>
    <col min="11" max="11" width="10.28515625" bestFit="1" customWidth="1"/>
    <col min="12" max="12" width="20.85546875" bestFit="1" customWidth="1"/>
    <col min="13" max="13" width="18.5703125" bestFit="1" customWidth="1"/>
    <col min="14" max="14" width="9.42578125" bestFit="1" customWidth="1"/>
    <col min="15" max="15" width="10.28515625" bestFit="1" customWidth="1"/>
    <col min="16" max="16" width="22.5703125" bestFit="1" customWidth="1"/>
  </cols>
  <sheetData>
    <row r="1" spans="1:16">
      <c r="D1" t="s">
        <v>43</v>
      </c>
      <c r="E1" s="76" t="s">
        <v>44</v>
      </c>
      <c r="F1" s="76" t="s">
        <v>45</v>
      </c>
      <c r="G1" s="76" t="s">
        <v>46</v>
      </c>
      <c r="H1" s="76" t="s">
        <v>47</v>
      </c>
      <c r="I1" s="27" t="s">
        <v>48</v>
      </c>
      <c r="J1" s="78" t="s">
        <v>49</v>
      </c>
      <c r="K1" s="79"/>
      <c r="L1" s="28" t="s">
        <v>50</v>
      </c>
      <c r="M1" s="29" t="s">
        <v>51</v>
      </c>
      <c r="N1" s="30" t="s">
        <v>52</v>
      </c>
      <c r="O1" s="31" t="s">
        <v>53</v>
      </c>
      <c r="P1" s="32" t="s">
        <v>54</v>
      </c>
    </row>
    <row r="2" spans="1:16" ht="35.25" customHeight="1">
      <c r="A2" t="s">
        <v>55</v>
      </c>
      <c r="B2" s="33" t="s">
        <v>56</v>
      </c>
      <c r="C2" s="34" t="s">
        <v>57</v>
      </c>
      <c r="D2" s="34" t="s">
        <v>58</v>
      </c>
      <c r="E2" s="77"/>
      <c r="F2" s="77"/>
      <c r="G2" s="77"/>
      <c r="H2" s="77"/>
      <c r="I2" s="34" t="s">
        <v>59</v>
      </c>
      <c r="J2" s="35" t="s">
        <v>60</v>
      </c>
      <c r="K2" s="36" t="s">
        <v>61</v>
      </c>
      <c r="L2" s="37" t="s">
        <v>62</v>
      </c>
      <c r="M2" s="38" t="s">
        <v>63</v>
      </c>
      <c r="N2" s="39" t="s">
        <v>64</v>
      </c>
      <c r="O2" s="40" t="s">
        <v>65</v>
      </c>
      <c r="P2" s="41" t="s">
        <v>66</v>
      </c>
    </row>
    <row r="3" spans="1:16">
      <c r="A3">
        <v>1</v>
      </c>
      <c r="B3" s="42" t="s">
        <v>67</v>
      </c>
      <c r="C3" s="43" t="s">
        <v>68</v>
      </c>
      <c r="D3" s="43" t="s">
        <v>69</v>
      </c>
      <c r="E3" s="43">
        <v>48</v>
      </c>
      <c r="F3" s="43">
        <v>55</v>
      </c>
      <c r="G3" s="43">
        <v>81</v>
      </c>
      <c r="H3" s="43">
        <v>45</v>
      </c>
      <c r="I3" s="43">
        <f t="shared" ref="I3:I102" si="0">SUM(E3:H3)</f>
        <v>229</v>
      </c>
      <c r="J3" s="44" t="str">
        <f>IF(G3&gt;=35, "PASS","FAIL")</f>
        <v>PASS</v>
      </c>
      <c r="K3" s="44" t="str">
        <f>IF(E3&gt;=35, "PASS","FAIL")</f>
        <v>PASS</v>
      </c>
      <c r="L3" s="28" t="str">
        <f>IF(I3&gt;300,"EXCELLENT", IF(I3&gt;=200,"AVERAGE","NEEDS IMPROVEMENT"))</f>
        <v>AVERAGE</v>
      </c>
      <c r="M3" s="29" t="b">
        <f>AND(C3="JU",D3="Masters",G3&gt;70)</f>
        <v>0</v>
      </c>
      <c r="N3" s="30" t="str">
        <f>IF(AND(C3="JU",D3="Masters")," Juite","Non Juite")</f>
        <v>Non Juite</v>
      </c>
      <c r="O3" s="31" t="str">
        <f>IF(OR(C3="CU",C3="JNU"),"ILS","Non ils")</f>
        <v>ILS</v>
      </c>
      <c r="P3" s="32" t="str">
        <f>IF(NOT(C3="JU"),"ILS","NONils")</f>
        <v>ILS</v>
      </c>
    </row>
    <row r="4" spans="1:16">
      <c r="A4">
        <v>2</v>
      </c>
      <c r="B4" s="42" t="s">
        <v>70</v>
      </c>
      <c r="C4" s="43" t="s">
        <v>71</v>
      </c>
      <c r="D4" s="43" t="s">
        <v>72</v>
      </c>
      <c r="E4" s="43">
        <v>38</v>
      </c>
      <c r="F4" s="43">
        <v>38</v>
      </c>
      <c r="G4" s="43">
        <v>90</v>
      </c>
      <c r="H4" s="43">
        <v>87</v>
      </c>
      <c r="I4" s="43">
        <f t="shared" si="0"/>
        <v>253</v>
      </c>
      <c r="J4" s="44" t="str">
        <f t="shared" ref="J4:J67" si="1">IF(G4&gt;=35, "PASS","FAIL")</f>
        <v>PASS</v>
      </c>
      <c r="K4" s="44" t="str">
        <f t="shared" ref="K4:K67" si="2">IF(E4&gt;=35, "PASS","FAIL")</f>
        <v>PASS</v>
      </c>
      <c r="L4" s="28" t="str">
        <f t="shared" ref="L4:L67" si="3">IF(I4&gt;300,"EXCELLENT", IF(I4&gt;=200,"AVERAGE","NEEDS IMPROVEMENT"))</f>
        <v>AVERAGE</v>
      </c>
      <c r="M4" s="29" t="b">
        <f t="shared" ref="M4:M67" si="4">AND(C4="JU",D4="Masters",G4&gt;70)</f>
        <v>0</v>
      </c>
      <c r="N4" s="30" t="str">
        <f t="shared" ref="N4:N67" si="5">IF(AND(C4="JU",D4="Masters")," Juite","Non Juite")</f>
        <v>Non Juite</v>
      </c>
      <c r="O4" s="31" t="str">
        <f t="shared" ref="O4:O67" si="6">IF(OR(C4="CU",C4="JNU"),"ILS","Non ils")</f>
        <v>Non ils</v>
      </c>
      <c r="P4" s="32" t="str">
        <f t="shared" ref="P4:P67" si="7">IF(NOT(C4="JU"),"ILS","Non ils")</f>
        <v>Non ils</v>
      </c>
    </row>
    <row r="5" spans="1:16">
      <c r="A5">
        <v>3</v>
      </c>
      <c r="B5" s="42" t="s">
        <v>73</v>
      </c>
      <c r="C5" s="43" t="s">
        <v>68</v>
      </c>
      <c r="D5" s="43" t="s">
        <v>74</v>
      </c>
      <c r="E5" s="43">
        <v>58</v>
      </c>
      <c r="F5" s="43">
        <v>95</v>
      </c>
      <c r="G5" s="43">
        <v>45</v>
      </c>
      <c r="H5" s="43">
        <v>25</v>
      </c>
      <c r="I5" s="43">
        <f t="shared" si="0"/>
        <v>223</v>
      </c>
      <c r="J5" s="44" t="str">
        <f t="shared" si="1"/>
        <v>PASS</v>
      </c>
      <c r="K5" s="44" t="str">
        <f t="shared" si="2"/>
        <v>PASS</v>
      </c>
      <c r="L5" s="28" t="str">
        <f>IF(I5&gt;300,"EXCELLENT", IF(I5&gt;=200,"AVERAGE","NEEDS IMPROVEMENT"))</f>
        <v>AVERAGE</v>
      </c>
      <c r="M5" s="29" t="b">
        <f t="shared" si="4"/>
        <v>0</v>
      </c>
      <c r="N5" s="30" t="str">
        <f t="shared" si="5"/>
        <v>Non Juite</v>
      </c>
      <c r="O5" s="31" t="str">
        <f t="shared" si="6"/>
        <v>ILS</v>
      </c>
      <c r="P5" s="32" t="str">
        <f t="shared" si="7"/>
        <v>ILS</v>
      </c>
    </row>
    <row r="6" spans="1:16">
      <c r="A6">
        <v>4</v>
      </c>
      <c r="B6" s="42" t="s">
        <v>75</v>
      </c>
      <c r="C6" s="43" t="s">
        <v>71</v>
      </c>
      <c r="D6" s="43" t="s">
        <v>72</v>
      </c>
      <c r="E6" s="43">
        <v>69</v>
      </c>
      <c r="F6" s="43">
        <v>77</v>
      </c>
      <c r="G6" s="43">
        <v>34</v>
      </c>
      <c r="H6" s="43">
        <v>59</v>
      </c>
      <c r="I6" s="43">
        <f t="shared" si="0"/>
        <v>239</v>
      </c>
      <c r="J6" s="44" t="str">
        <f t="shared" si="1"/>
        <v>FAIL</v>
      </c>
      <c r="K6" s="44" t="str">
        <f t="shared" si="2"/>
        <v>PASS</v>
      </c>
      <c r="L6" s="28" t="str">
        <f t="shared" si="3"/>
        <v>AVERAGE</v>
      </c>
      <c r="M6" s="29" t="b">
        <f t="shared" si="4"/>
        <v>0</v>
      </c>
      <c r="N6" s="30" t="str">
        <f t="shared" si="5"/>
        <v>Non Juite</v>
      </c>
      <c r="O6" s="31" t="str">
        <f t="shared" si="6"/>
        <v>Non ils</v>
      </c>
      <c r="P6" s="32" t="str">
        <f t="shared" si="7"/>
        <v>Non ils</v>
      </c>
    </row>
    <row r="7" spans="1:16">
      <c r="A7">
        <v>5</v>
      </c>
      <c r="B7" s="42" t="s">
        <v>76</v>
      </c>
      <c r="C7" s="43" t="s">
        <v>68</v>
      </c>
      <c r="D7" s="43" t="s">
        <v>69</v>
      </c>
      <c r="E7" s="43">
        <v>21</v>
      </c>
      <c r="F7" s="43">
        <v>58</v>
      </c>
      <c r="G7" s="43">
        <v>36</v>
      </c>
      <c r="H7" s="43">
        <v>79</v>
      </c>
      <c r="I7" s="43">
        <f t="shared" si="0"/>
        <v>194</v>
      </c>
      <c r="J7" s="44" t="str">
        <f t="shared" si="1"/>
        <v>PASS</v>
      </c>
      <c r="K7" s="44" t="str">
        <f t="shared" si="2"/>
        <v>FAIL</v>
      </c>
      <c r="L7" s="28" t="str">
        <f t="shared" si="3"/>
        <v>NEEDS IMPROVEMENT</v>
      </c>
      <c r="M7" s="29" t="b">
        <f t="shared" si="4"/>
        <v>0</v>
      </c>
      <c r="N7" s="30" t="str">
        <f t="shared" si="5"/>
        <v>Non Juite</v>
      </c>
      <c r="O7" s="31" t="str">
        <f t="shared" si="6"/>
        <v>ILS</v>
      </c>
      <c r="P7" s="32" t="str">
        <f t="shared" si="7"/>
        <v>ILS</v>
      </c>
    </row>
    <row r="8" spans="1:16">
      <c r="A8">
        <v>6</v>
      </c>
      <c r="B8" s="42" t="s">
        <v>77</v>
      </c>
      <c r="C8" s="43" t="s">
        <v>71</v>
      </c>
      <c r="D8" s="43" t="s">
        <v>78</v>
      </c>
      <c r="E8" s="43">
        <v>18</v>
      </c>
      <c r="F8" s="43">
        <v>85</v>
      </c>
      <c r="G8" s="43">
        <v>76</v>
      </c>
      <c r="H8" s="43">
        <v>100</v>
      </c>
      <c r="I8" s="43">
        <f t="shared" si="0"/>
        <v>279</v>
      </c>
      <c r="J8" s="44" t="str">
        <f t="shared" si="1"/>
        <v>PASS</v>
      </c>
      <c r="K8" s="44" t="str">
        <f t="shared" si="2"/>
        <v>FAIL</v>
      </c>
      <c r="L8" s="28" t="str">
        <f t="shared" si="3"/>
        <v>AVERAGE</v>
      </c>
      <c r="M8" s="29" t="b">
        <f t="shared" si="4"/>
        <v>1</v>
      </c>
      <c r="N8" s="30" t="str">
        <f t="shared" si="5"/>
        <v xml:space="preserve"> Juite</v>
      </c>
      <c r="O8" s="31" t="str">
        <f t="shared" si="6"/>
        <v>Non ils</v>
      </c>
      <c r="P8" s="32" t="str">
        <f>IF(NOT(C8="JU"),"ILS","Non ils")</f>
        <v>Non ils</v>
      </c>
    </row>
    <row r="9" spans="1:16">
      <c r="A9">
        <v>7</v>
      </c>
      <c r="B9" s="42" t="s">
        <v>79</v>
      </c>
      <c r="C9" s="43" t="s">
        <v>80</v>
      </c>
      <c r="D9" s="43" t="s">
        <v>69</v>
      </c>
      <c r="E9" s="43">
        <v>54</v>
      </c>
      <c r="F9" s="43">
        <v>34</v>
      </c>
      <c r="G9" s="43">
        <v>85</v>
      </c>
      <c r="H9" s="43">
        <v>81</v>
      </c>
      <c r="I9" s="43">
        <f t="shared" si="0"/>
        <v>254</v>
      </c>
      <c r="J9" s="44" t="str">
        <f t="shared" si="1"/>
        <v>PASS</v>
      </c>
      <c r="K9" s="44" t="str">
        <f t="shared" si="2"/>
        <v>PASS</v>
      </c>
      <c r="L9" s="28" t="str">
        <f t="shared" si="3"/>
        <v>AVERAGE</v>
      </c>
      <c r="M9" s="29" t="b">
        <f t="shared" si="4"/>
        <v>0</v>
      </c>
      <c r="N9" s="30" t="str">
        <f t="shared" si="5"/>
        <v>Non Juite</v>
      </c>
      <c r="O9" s="31" t="str">
        <f t="shared" si="6"/>
        <v>ILS</v>
      </c>
      <c r="P9" s="32" t="str">
        <f t="shared" si="7"/>
        <v>ILS</v>
      </c>
    </row>
    <row r="10" spans="1:16">
      <c r="A10">
        <v>8</v>
      </c>
      <c r="B10" s="42" t="s">
        <v>81</v>
      </c>
      <c r="C10" s="43" t="s">
        <v>71</v>
      </c>
      <c r="D10" s="43" t="s">
        <v>74</v>
      </c>
      <c r="E10" s="43">
        <v>49</v>
      </c>
      <c r="F10" s="43">
        <v>73</v>
      </c>
      <c r="G10" s="43">
        <v>57</v>
      </c>
      <c r="H10" s="43">
        <v>82</v>
      </c>
      <c r="I10" s="43">
        <f t="shared" si="0"/>
        <v>261</v>
      </c>
      <c r="J10" s="44" t="str">
        <f t="shared" si="1"/>
        <v>PASS</v>
      </c>
      <c r="K10" s="44" t="str">
        <f t="shared" si="2"/>
        <v>PASS</v>
      </c>
      <c r="L10" s="28" t="str">
        <f t="shared" si="3"/>
        <v>AVERAGE</v>
      </c>
      <c r="M10" s="29" t="b">
        <f t="shared" si="4"/>
        <v>0</v>
      </c>
      <c r="N10" s="30" t="str">
        <f t="shared" si="5"/>
        <v>Non Juite</v>
      </c>
      <c r="O10" s="31" t="str">
        <f t="shared" si="6"/>
        <v>Non ils</v>
      </c>
      <c r="P10" s="32" t="str">
        <f t="shared" si="7"/>
        <v>Non ils</v>
      </c>
    </row>
    <row r="11" spans="1:16">
      <c r="A11">
        <v>9</v>
      </c>
      <c r="B11" s="42" t="s">
        <v>82</v>
      </c>
      <c r="C11" s="43" t="s">
        <v>71</v>
      </c>
      <c r="D11" s="43" t="s">
        <v>78</v>
      </c>
      <c r="E11" s="43">
        <v>65</v>
      </c>
      <c r="F11" s="43">
        <v>29</v>
      </c>
      <c r="G11" s="43">
        <v>35</v>
      </c>
      <c r="H11" s="43">
        <v>92</v>
      </c>
      <c r="I11" s="43">
        <f t="shared" si="0"/>
        <v>221</v>
      </c>
      <c r="J11" s="44" t="str">
        <f t="shared" si="1"/>
        <v>PASS</v>
      </c>
      <c r="K11" s="44" t="str">
        <f t="shared" si="2"/>
        <v>PASS</v>
      </c>
      <c r="L11" s="28" t="str">
        <f t="shared" si="3"/>
        <v>AVERAGE</v>
      </c>
      <c r="M11" s="29" t="b">
        <f t="shared" si="4"/>
        <v>0</v>
      </c>
      <c r="N11" s="30" t="str">
        <f t="shared" si="5"/>
        <v xml:space="preserve"> Juite</v>
      </c>
      <c r="O11" s="31" t="str">
        <f t="shared" si="6"/>
        <v>Non ils</v>
      </c>
      <c r="P11" s="32" t="str">
        <f t="shared" si="7"/>
        <v>Non ils</v>
      </c>
    </row>
    <row r="12" spans="1:16">
      <c r="A12">
        <v>10</v>
      </c>
      <c r="B12" s="42" t="s">
        <v>83</v>
      </c>
      <c r="C12" s="43" t="s">
        <v>71</v>
      </c>
      <c r="D12" s="43" t="s">
        <v>78</v>
      </c>
      <c r="E12" s="43">
        <v>42</v>
      </c>
      <c r="F12" s="43">
        <v>63</v>
      </c>
      <c r="G12" s="43">
        <v>67</v>
      </c>
      <c r="H12" s="43">
        <v>36</v>
      </c>
      <c r="I12" s="43">
        <f t="shared" si="0"/>
        <v>208</v>
      </c>
      <c r="J12" s="44" t="str">
        <f t="shared" si="1"/>
        <v>PASS</v>
      </c>
      <c r="K12" s="44" t="str">
        <f t="shared" si="2"/>
        <v>PASS</v>
      </c>
      <c r="L12" s="28" t="str">
        <f t="shared" si="3"/>
        <v>AVERAGE</v>
      </c>
      <c r="M12" s="29" t="b">
        <f t="shared" si="4"/>
        <v>0</v>
      </c>
      <c r="N12" s="30" t="str">
        <f t="shared" si="5"/>
        <v xml:space="preserve"> Juite</v>
      </c>
      <c r="O12" s="31" t="str">
        <f t="shared" si="6"/>
        <v>Non ils</v>
      </c>
      <c r="P12" s="32" t="str">
        <f t="shared" si="7"/>
        <v>Non ils</v>
      </c>
    </row>
    <row r="13" spans="1:16">
      <c r="A13">
        <v>11</v>
      </c>
      <c r="B13" s="42" t="s">
        <v>84</v>
      </c>
      <c r="C13" s="43" t="s">
        <v>80</v>
      </c>
      <c r="D13" s="43" t="s">
        <v>74</v>
      </c>
      <c r="E13" s="43">
        <v>60</v>
      </c>
      <c r="F13" s="43">
        <v>31</v>
      </c>
      <c r="G13" s="43">
        <v>53</v>
      </c>
      <c r="H13" s="43">
        <v>50</v>
      </c>
      <c r="I13" s="43">
        <f t="shared" si="0"/>
        <v>194</v>
      </c>
      <c r="J13" s="44" t="str">
        <f t="shared" si="1"/>
        <v>PASS</v>
      </c>
      <c r="K13" s="44" t="str">
        <f t="shared" si="2"/>
        <v>PASS</v>
      </c>
      <c r="L13" s="28" t="str">
        <f t="shared" si="3"/>
        <v>NEEDS IMPROVEMENT</v>
      </c>
      <c r="M13" s="29" t="b">
        <f t="shared" si="4"/>
        <v>0</v>
      </c>
      <c r="N13" s="30" t="str">
        <f t="shared" si="5"/>
        <v>Non Juite</v>
      </c>
      <c r="O13" s="31" t="str">
        <f t="shared" si="6"/>
        <v>ILS</v>
      </c>
      <c r="P13" s="32" t="str">
        <f t="shared" si="7"/>
        <v>ILS</v>
      </c>
    </row>
    <row r="14" spans="1:16">
      <c r="A14">
        <v>12</v>
      </c>
      <c r="B14" s="42" t="s">
        <v>85</v>
      </c>
      <c r="C14" s="43" t="s">
        <v>68</v>
      </c>
      <c r="D14" s="43" t="s">
        <v>72</v>
      </c>
      <c r="E14" s="43">
        <v>42</v>
      </c>
      <c r="F14" s="43">
        <v>73</v>
      </c>
      <c r="G14" s="43">
        <v>79</v>
      </c>
      <c r="H14" s="43">
        <v>56</v>
      </c>
      <c r="I14" s="43">
        <f t="shared" si="0"/>
        <v>250</v>
      </c>
      <c r="J14" s="44" t="str">
        <f t="shared" si="1"/>
        <v>PASS</v>
      </c>
      <c r="K14" s="44" t="str">
        <f t="shared" si="2"/>
        <v>PASS</v>
      </c>
      <c r="L14" s="28" t="str">
        <f t="shared" si="3"/>
        <v>AVERAGE</v>
      </c>
      <c r="M14" s="29" t="b">
        <f t="shared" si="4"/>
        <v>0</v>
      </c>
      <c r="N14" s="30" t="str">
        <f t="shared" si="5"/>
        <v>Non Juite</v>
      </c>
      <c r="O14" s="31" t="str">
        <f t="shared" si="6"/>
        <v>ILS</v>
      </c>
      <c r="P14" s="32" t="str">
        <f t="shared" si="7"/>
        <v>ILS</v>
      </c>
    </row>
    <row r="15" spans="1:16">
      <c r="A15">
        <v>13</v>
      </c>
      <c r="B15" s="42" t="s">
        <v>86</v>
      </c>
      <c r="C15" s="43" t="s">
        <v>68</v>
      </c>
      <c r="D15" s="43" t="s">
        <v>72</v>
      </c>
      <c r="E15" s="43">
        <v>25</v>
      </c>
      <c r="F15" s="43">
        <v>61</v>
      </c>
      <c r="G15" s="43">
        <v>100</v>
      </c>
      <c r="H15" s="43">
        <v>46</v>
      </c>
      <c r="I15" s="43">
        <f t="shared" si="0"/>
        <v>232</v>
      </c>
      <c r="J15" s="44" t="str">
        <f t="shared" si="1"/>
        <v>PASS</v>
      </c>
      <c r="K15" s="44" t="str">
        <f t="shared" si="2"/>
        <v>FAIL</v>
      </c>
      <c r="L15" s="28" t="str">
        <f t="shared" si="3"/>
        <v>AVERAGE</v>
      </c>
      <c r="M15" s="29" t="b">
        <f t="shared" si="4"/>
        <v>0</v>
      </c>
      <c r="N15" s="30" t="str">
        <f t="shared" si="5"/>
        <v>Non Juite</v>
      </c>
      <c r="O15" s="31" t="str">
        <f t="shared" si="6"/>
        <v>ILS</v>
      </c>
      <c r="P15" s="32" t="str">
        <f t="shared" si="7"/>
        <v>ILS</v>
      </c>
    </row>
    <row r="16" spans="1:16">
      <c r="A16">
        <v>14</v>
      </c>
      <c r="B16" s="42" t="s">
        <v>87</v>
      </c>
      <c r="C16" s="43" t="s">
        <v>71</v>
      </c>
      <c r="D16" s="43" t="s">
        <v>72</v>
      </c>
      <c r="E16" s="43">
        <v>57</v>
      </c>
      <c r="F16" s="43">
        <v>46</v>
      </c>
      <c r="G16" s="43">
        <v>87</v>
      </c>
      <c r="H16" s="43">
        <v>94</v>
      </c>
      <c r="I16" s="43">
        <f t="shared" si="0"/>
        <v>284</v>
      </c>
      <c r="J16" s="44" t="str">
        <f t="shared" si="1"/>
        <v>PASS</v>
      </c>
      <c r="K16" s="44" t="str">
        <f t="shared" si="2"/>
        <v>PASS</v>
      </c>
      <c r="L16" s="28" t="str">
        <f t="shared" si="3"/>
        <v>AVERAGE</v>
      </c>
      <c r="M16" s="29" t="b">
        <f t="shared" si="4"/>
        <v>0</v>
      </c>
      <c r="N16" s="30" t="str">
        <f t="shared" si="5"/>
        <v>Non Juite</v>
      </c>
      <c r="O16" s="31" t="str">
        <f t="shared" si="6"/>
        <v>Non ils</v>
      </c>
      <c r="P16" s="32" t="str">
        <f t="shared" si="7"/>
        <v>Non ils</v>
      </c>
    </row>
    <row r="17" spans="1:16">
      <c r="A17">
        <v>15</v>
      </c>
      <c r="B17" s="42" t="s">
        <v>88</v>
      </c>
      <c r="C17" s="43" t="s">
        <v>68</v>
      </c>
      <c r="D17" s="43" t="s">
        <v>69</v>
      </c>
      <c r="E17" s="43">
        <v>51</v>
      </c>
      <c r="F17" s="43">
        <v>73</v>
      </c>
      <c r="G17" s="43">
        <v>57</v>
      </c>
      <c r="H17" s="43">
        <v>26</v>
      </c>
      <c r="I17" s="43">
        <f t="shared" si="0"/>
        <v>207</v>
      </c>
      <c r="J17" s="44" t="str">
        <f t="shared" si="1"/>
        <v>PASS</v>
      </c>
      <c r="K17" s="44" t="str">
        <f t="shared" si="2"/>
        <v>PASS</v>
      </c>
      <c r="L17" s="28" t="str">
        <f t="shared" si="3"/>
        <v>AVERAGE</v>
      </c>
      <c r="M17" s="29" t="b">
        <f>AND(C17="JU",D17="Masters",G17&gt;70)</f>
        <v>0</v>
      </c>
      <c r="N17" s="30" t="str">
        <f t="shared" si="5"/>
        <v>Non Juite</v>
      </c>
      <c r="O17" s="31" t="str">
        <f t="shared" si="6"/>
        <v>ILS</v>
      </c>
      <c r="P17" s="32" t="str">
        <f t="shared" si="7"/>
        <v>ILS</v>
      </c>
    </row>
    <row r="18" spans="1:16">
      <c r="A18">
        <v>16</v>
      </c>
      <c r="B18" s="42" t="s">
        <v>89</v>
      </c>
      <c r="C18" s="43" t="s">
        <v>71</v>
      </c>
      <c r="D18" s="43" t="s">
        <v>72</v>
      </c>
      <c r="E18" s="43">
        <v>87</v>
      </c>
      <c r="F18" s="43">
        <v>26</v>
      </c>
      <c r="G18" s="43">
        <v>92</v>
      </c>
      <c r="H18" s="43">
        <v>83</v>
      </c>
      <c r="I18" s="43">
        <f t="shared" si="0"/>
        <v>288</v>
      </c>
      <c r="J18" s="44" t="str">
        <f t="shared" si="1"/>
        <v>PASS</v>
      </c>
      <c r="K18" s="44" t="str">
        <f t="shared" si="2"/>
        <v>PASS</v>
      </c>
      <c r="L18" s="28" t="str">
        <f t="shared" si="3"/>
        <v>AVERAGE</v>
      </c>
      <c r="M18" s="29" t="b">
        <f t="shared" si="4"/>
        <v>0</v>
      </c>
      <c r="N18" s="30" t="str">
        <f t="shared" si="5"/>
        <v>Non Juite</v>
      </c>
      <c r="O18" s="31" t="str">
        <f t="shared" si="6"/>
        <v>Non ils</v>
      </c>
      <c r="P18" s="32" t="str">
        <f t="shared" si="7"/>
        <v>Non ils</v>
      </c>
    </row>
    <row r="19" spans="1:16">
      <c r="A19">
        <v>17</v>
      </c>
      <c r="B19" s="42" t="s">
        <v>90</v>
      </c>
      <c r="C19" s="43" t="s">
        <v>68</v>
      </c>
      <c r="D19" s="43" t="s">
        <v>74</v>
      </c>
      <c r="E19" s="43">
        <v>28</v>
      </c>
      <c r="F19" s="43">
        <v>68</v>
      </c>
      <c r="G19" s="43">
        <v>31</v>
      </c>
      <c r="H19" s="43">
        <v>60</v>
      </c>
      <c r="I19" s="43">
        <f t="shared" si="0"/>
        <v>187</v>
      </c>
      <c r="J19" s="44" t="str">
        <f t="shared" si="1"/>
        <v>FAIL</v>
      </c>
      <c r="K19" s="44" t="str">
        <f t="shared" si="2"/>
        <v>FAIL</v>
      </c>
      <c r="L19" s="28" t="str">
        <f t="shared" si="3"/>
        <v>NEEDS IMPROVEMENT</v>
      </c>
      <c r="M19" s="29" t="b">
        <f t="shared" si="4"/>
        <v>0</v>
      </c>
      <c r="N19" s="30" t="str">
        <f t="shared" si="5"/>
        <v>Non Juite</v>
      </c>
      <c r="O19" s="31" t="str">
        <f t="shared" si="6"/>
        <v>ILS</v>
      </c>
      <c r="P19" s="32" t="str">
        <f t="shared" si="7"/>
        <v>ILS</v>
      </c>
    </row>
    <row r="20" spans="1:16">
      <c r="A20">
        <v>18</v>
      </c>
      <c r="B20" s="42" t="s">
        <v>91</v>
      </c>
      <c r="C20" s="43" t="s">
        <v>80</v>
      </c>
      <c r="D20" s="43" t="s">
        <v>78</v>
      </c>
      <c r="E20" s="43">
        <v>81</v>
      </c>
      <c r="F20" s="43">
        <v>52</v>
      </c>
      <c r="G20" s="43">
        <v>85</v>
      </c>
      <c r="H20" s="43">
        <v>55</v>
      </c>
      <c r="I20" s="43">
        <f t="shared" si="0"/>
        <v>273</v>
      </c>
      <c r="J20" s="44" t="str">
        <f t="shared" si="1"/>
        <v>PASS</v>
      </c>
      <c r="K20" s="44" t="str">
        <f t="shared" si="2"/>
        <v>PASS</v>
      </c>
      <c r="L20" s="28" t="str">
        <f t="shared" si="3"/>
        <v>AVERAGE</v>
      </c>
      <c r="M20" s="29" t="b">
        <f t="shared" si="4"/>
        <v>0</v>
      </c>
      <c r="N20" s="30" t="str">
        <f t="shared" si="5"/>
        <v>Non Juite</v>
      </c>
      <c r="O20" s="31" t="str">
        <f t="shared" si="6"/>
        <v>ILS</v>
      </c>
      <c r="P20" s="32" t="str">
        <f t="shared" si="7"/>
        <v>ILS</v>
      </c>
    </row>
    <row r="21" spans="1:16">
      <c r="A21">
        <v>19</v>
      </c>
      <c r="B21" s="42" t="s">
        <v>92</v>
      </c>
      <c r="C21" s="43" t="s">
        <v>71</v>
      </c>
      <c r="D21" s="43" t="s">
        <v>78</v>
      </c>
      <c r="E21" s="43">
        <v>88</v>
      </c>
      <c r="F21" s="43">
        <v>25</v>
      </c>
      <c r="G21" s="43">
        <v>50</v>
      </c>
      <c r="H21" s="43">
        <v>25</v>
      </c>
      <c r="I21" s="43">
        <f t="shared" si="0"/>
        <v>188</v>
      </c>
      <c r="J21" s="44" t="str">
        <f t="shared" si="1"/>
        <v>PASS</v>
      </c>
      <c r="K21" s="44" t="str">
        <f t="shared" si="2"/>
        <v>PASS</v>
      </c>
      <c r="L21" s="28" t="str">
        <f t="shared" si="3"/>
        <v>NEEDS IMPROVEMENT</v>
      </c>
      <c r="M21" s="29" t="b">
        <f t="shared" si="4"/>
        <v>0</v>
      </c>
      <c r="N21" s="30" t="str">
        <f t="shared" si="5"/>
        <v xml:space="preserve"> Juite</v>
      </c>
      <c r="O21" s="31" t="str">
        <f t="shared" si="6"/>
        <v>Non ils</v>
      </c>
      <c r="P21" s="32" t="str">
        <f t="shared" si="7"/>
        <v>Non ils</v>
      </c>
    </row>
    <row r="22" spans="1:16">
      <c r="A22">
        <v>20</v>
      </c>
      <c r="B22" s="42" t="s">
        <v>93</v>
      </c>
      <c r="C22" s="43" t="s">
        <v>68</v>
      </c>
      <c r="D22" s="43" t="s">
        <v>78</v>
      </c>
      <c r="E22" s="43">
        <v>35</v>
      </c>
      <c r="F22" s="43">
        <v>25</v>
      </c>
      <c r="G22" s="43">
        <v>78</v>
      </c>
      <c r="H22" s="43">
        <v>46</v>
      </c>
      <c r="I22" s="43">
        <f t="shared" si="0"/>
        <v>184</v>
      </c>
      <c r="J22" s="44" t="str">
        <f t="shared" si="1"/>
        <v>PASS</v>
      </c>
      <c r="K22" s="44" t="str">
        <f t="shared" si="2"/>
        <v>PASS</v>
      </c>
      <c r="L22" s="28" t="str">
        <f t="shared" si="3"/>
        <v>NEEDS IMPROVEMENT</v>
      </c>
      <c r="M22" s="29" t="b">
        <f t="shared" si="4"/>
        <v>0</v>
      </c>
      <c r="N22" s="30" t="str">
        <f t="shared" si="5"/>
        <v>Non Juite</v>
      </c>
      <c r="O22" s="31" t="str">
        <f t="shared" si="6"/>
        <v>ILS</v>
      </c>
      <c r="P22" s="32" t="str">
        <f t="shared" si="7"/>
        <v>ILS</v>
      </c>
    </row>
    <row r="23" spans="1:16">
      <c r="A23">
        <v>21</v>
      </c>
      <c r="B23" s="42" t="s">
        <v>94</v>
      </c>
      <c r="C23" s="43" t="s">
        <v>80</v>
      </c>
      <c r="D23" s="43" t="s">
        <v>69</v>
      </c>
      <c r="E23" s="43">
        <v>95</v>
      </c>
      <c r="F23" s="43">
        <v>85</v>
      </c>
      <c r="G23" s="43">
        <v>61</v>
      </c>
      <c r="H23" s="43">
        <v>47</v>
      </c>
      <c r="I23" s="43">
        <f t="shared" si="0"/>
        <v>288</v>
      </c>
      <c r="J23" s="44" t="str">
        <f t="shared" si="1"/>
        <v>PASS</v>
      </c>
      <c r="K23" s="44" t="str">
        <f t="shared" si="2"/>
        <v>PASS</v>
      </c>
      <c r="L23" s="28" t="str">
        <f t="shared" si="3"/>
        <v>AVERAGE</v>
      </c>
      <c r="M23" s="29" t="b">
        <f t="shared" si="4"/>
        <v>0</v>
      </c>
      <c r="N23" s="30" t="str">
        <f t="shared" si="5"/>
        <v>Non Juite</v>
      </c>
      <c r="O23" s="31" t="str">
        <f t="shared" si="6"/>
        <v>ILS</v>
      </c>
      <c r="P23" s="32" t="str">
        <f t="shared" si="7"/>
        <v>ILS</v>
      </c>
    </row>
    <row r="24" spans="1:16">
      <c r="A24">
        <v>22</v>
      </c>
      <c r="B24" s="42" t="s">
        <v>95</v>
      </c>
      <c r="C24" s="43" t="s">
        <v>80</v>
      </c>
      <c r="D24" s="43" t="s">
        <v>78</v>
      </c>
      <c r="E24" s="43">
        <v>68</v>
      </c>
      <c r="F24" s="43">
        <v>60</v>
      </c>
      <c r="G24" s="43">
        <v>32</v>
      </c>
      <c r="H24" s="43">
        <v>98</v>
      </c>
      <c r="I24" s="43">
        <f t="shared" si="0"/>
        <v>258</v>
      </c>
      <c r="J24" s="44" t="str">
        <f t="shared" si="1"/>
        <v>FAIL</v>
      </c>
      <c r="K24" s="44" t="str">
        <f t="shared" si="2"/>
        <v>PASS</v>
      </c>
      <c r="L24" s="28" t="str">
        <f t="shared" si="3"/>
        <v>AVERAGE</v>
      </c>
      <c r="M24" s="29" t="b">
        <f t="shared" si="4"/>
        <v>0</v>
      </c>
      <c r="N24" s="30" t="str">
        <f t="shared" si="5"/>
        <v>Non Juite</v>
      </c>
      <c r="O24" s="31" t="str">
        <f t="shared" si="6"/>
        <v>ILS</v>
      </c>
      <c r="P24" s="32" t="str">
        <f t="shared" si="7"/>
        <v>ILS</v>
      </c>
    </row>
    <row r="25" spans="1:16">
      <c r="A25">
        <v>23</v>
      </c>
      <c r="B25" s="42" t="s">
        <v>96</v>
      </c>
      <c r="C25" s="43" t="s">
        <v>71</v>
      </c>
      <c r="D25" s="43" t="s">
        <v>74</v>
      </c>
      <c r="E25" s="43">
        <v>82</v>
      </c>
      <c r="F25" s="43">
        <v>55</v>
      </c>
      <c r="G25" s="43">
        <v>52</v>
      </c>
      <c r="H25" s="43">
        <v>65</v>
      </c>
      <c r="I25" s="43">
        <f t="shared" si="0"/>
        <v>254</v>
      </c>
      <c r="J25" s="44" t="str">
        <f t="shared" si="1"/>
        <v>PASS</v>
      </c>
      <c r="K25" s="44" t="str">
        <f t="shared" si="2"/>
        <v>PASS</v>
      </c>
      <c r="L25" s="28" t="str">
        <f t="shared" si="3"/>
        <v>AVERAGE</v>
      </c>
      <c r="M25" s="29" t="b">
        <f t="shared" si="4"/>
        <v>0</v>
      </c>
      <c r="N25" s="30" t="str">
        <f t="shared" si="5"/>
        <v>Non Juite</v>
      </c>
      <c r="O25" s="31" t="str">
        <f t="shared" si="6"/>
        <v>Non ils</v>
      </c>
      <c r="P25" s="32" t="str">
        <f t="shared" si="7"/>
        <v>Non ils</v>
      </c>
    </row>
    <row r="26" spans="1:16">
      <c r="A26">
        <v>24</v>
      </c>
      <c r="B26" s="42" t="s">
        <v>97</v>
      </c>
      <c r="C26" s="43" t="s">
        <v>80</v>
      </c>
      <c r="D26" s="43" t="s">
        <v>78</v>
      </c>
      <c r="E26" s="43">
        <v>81</v>
      </c>
      <c r="F26" s="43">
        <v>91</v>
      </c>
      <c r="G26" s="43">
        <v>45</v>
      </c>
      <c r="H26" s="43">
        <v>70</v>
      </c>
      <c r="I26" s="43">
        <f t="shared" si="0"/>
        <v>287</v>
      </c>
      <c r="J26" s="44" t="str">
        <f t="shared" si="1"/>
        <v>PASS</v>
      </c>
      <c r="K26" s="44" t="str">
        <f t="shared" si="2"/>
        <v>PASS</v>
      </c>
      <c r="L26" s="28" t="str">
        <f t="shared" si="3"/>
        <v>AVERAGE</v>
      </c>
      <c r="M26" s="29" t="b">
        <f t="shared" si="4"/>
        <v>0</v>
      </c>
      <c r="N26" s="30" t="str">
        <f t="shared" si="5"/>
        <v>Non Juite</v>
      </c>
      <c r="O26" s="31" t="str">
        <f t="shared" si="6"/>
        <v>ILS</v>
      </c>
      <c r="P26" s="32" t="str">
        <f t="shared" si="7"/>
        <v>ILS</v>
      </c>
    </row>
    <row r="27" spans="1:16">
      <c r="A27">
        <v>25</v>
      </c>
      <c r="B27" s="42" t="s">
        <v>98</v>
      </c>
      <c r="C27" s="43" t="s">
        <v>80</v>
      </c>
      <c r="D27" s="43" t="s">
        <v>74</v>
      </c>
      <c r="E27" s="43">
        <v>55</v>
      </c>
      <c r="F27" s="43">
        <v>83</v>
      </c>
      <c r="G27" s="43">
        <v>37</v>
      </c>
      <c r="H27" s="43">
        <v>88</v>
      </c>
      <c r="I27" s="43">
        <f t="shared" si="0"/>
        <v>263</v>
      </c>
      <c r="J27" s="44" t="str">
        <f t="shared" si="1"/>
        <v>PASS</v>
      </c>
      <c r="K27" s="44" t="str">
        <f t="shared" si="2"/>
        <v>PASS</v>
      </c>
      <c r="L27" s="28" t="str">
        <f t="shared" si="3"/>
        <v>AVERAGE</v>
      </c>
      <c r="M27" s="29" t="b">
        <f t="shared" si="4"/>
        <v>0</v>
      </c>
      <c r="N27" s="30" t="str">
        <f t="shared" si="5"/>
        <v>Non Juite</v>
      </c>
      <c r="O27" s="31" t="str">
        <f t="shared" si="6"/>
        <v>ILS</v>
      </c>
      <c r="P27" s="32" t="str">
        <f t="shared" si="7"/>
        <v>ILS</v>
      </c>
    </row>
    <row r="28" spans="1:16">
      <c r="A28">
        <v>26</v>
      </c>
      <c r="B28" s="42" t="s">
        <v>99</v>
      </c>
      <c r="C28" s="43" t="s">
        <v>80</v>
      </c>
      <c r="D28" s="43" t="s">
        <v>74</v>
      </c>
      <c r="E28" s="43">
        <v>44</v>
      </c>
      <c r="F28" s="43">
        <v>70</v>
      </c>
      <c r="G28" s="43">
        <v>63</v>
      </c>
      <c r="H28" s="43">
        <v>35</v>
      </c>
      <c r="I28" s="43">
        <f t="shared" si="0"/>
        <v>212</v>
      </c>
      <c r="J28" s="44" t="str">
        <f t="shared" si="1"/>
        <v>PASS</v>
      </c>
      <c r="K28" s="44" t="str">
        <f t="shared" si="2"/>
        <v>PASS</v>
      </c>
      <c r="L28" s="28" t="str">
        <f t="shared" si="3"/>
        <v>AVERAGE</v>
      </c>
      <c r="M28" s="29" t="b">
        <f t="shared" si="4"/>
        <v>0</v>
      </c>
      <c r="N28" s="30" t="str">
        <f t="shared" si="5"/>
        <v>Non Juite</v>
      </c>
      <c r="O28" s="31" t="str">
        <f t="shared" si="6"/>
        <v>ILS</v>
      </c>
      <c r="P28" s="32" t="str">
        <f t="shared" si="7"/>
        <v>ILS</v>
      </c>
    </row>
    <row r="29" spans="1:16">
      <c r="A29">
        <v>27</v>
      </c>
      <c r="B29" s="42" t="s">
        <v>100</v>
      </c>
      <c r="C29" s="43" t="s">
        <v>71</v>
      </c>
      <c r="D29" s="43" t="s">
        <v>69</v>
      </c>
      <c r="E29" s="43">
        <v>84</v>
      </c>
      <c r="F29" s="43">
        <v>56</v>
      </c>
      <c r="G29" s="43">
        <v>61</v>
      </c>
      <c r="H29" s="43">
        <v>87</v>
      </c>
      <c r="I29" s="43">
        <f t="shared" si="0"/>
        <v>288</v>
      </c>
      <c r="J29" s="44" t="str">
        <f t="shared" si="1"/>
        <v>PASS</v>
      </c>
      <c r="K29" s="44" t="str">
        <f t="shared" si="2"/>
        <v>PASS</v>
      </c>
      <c r="L29" s="28" t="str">
        <f t="shared" si="3"/>
        <v>AVERAGE</v>
      </c>
      <c r="M29" s="29" t="b">
        <f t="shared" si="4"/>
        <v>0</v>
      </c>
      <c r="N29" s="30" t="str">
        <f t="shared" si="5"/>
        <v>Non Juite</v>
      </c>
      <c r="O29" s="31" t="str">
        <f t="shared" si="6"/>
        <v>Non ils</v>
      </c>
      <c r="P29" s="32" t="str">
        <f t="shared" si="7"/>
        <v>Non ils</v>
      </c>
    </row>
    <row r="30" spans="1:16">
      <c r="A30">
        <v>28</v>
      </c>
      <c r="B30" s="42" t="s">
        <v>101</v>
      </c>
      <c r="C30" s="43" t="s">
        <v>80</v>
      </c>
      <c r="D30" s="43" t="s">
        <v>69</v>
      </c>
      <c r="E30" s="43">
        <v>16</v>
      </c>
      <c r="F30" s="43">
        <v>64</v>
      </c>
      <c r="G30" s="43">
        <v>61</v>
      </c>
      <c r="H30" s="43">
        <v>70</v>
      </c>
      <c r="I30" s="43">
        <f t="shared" si="0"/>
        <v>211</v>
      </c>
      <c r="J30" s="44" t="str">
        <f t="shared" si="1"/>
        <v>PASS</v>
      </c>
      <c r="K30" s="44" t="str">
        <f t="shared" si="2"/>
        <v>FAIL</v>
      </c>
      <c r="L30" s="28" t="str">
        <f t="shared" si="3"/>
        <v>AVERAGE</v>
      </c>
      <c r="M30" s="29" t="b">
        <f t="shared" si="4"/>
        <v>0</v>
      </c>
      <c r="N30" s="30" t="str">
        <f t="shared" si="5"/>
        <v>Non Juite</v>
      </c>
      <c r="O30" s="31" t="str">
        <f t="shared" si="6"/>
        <v>ILS</v>
      </c>
      <c r="P30" s="32" t="str">
        <f t="shared" si="7"/>
        <v>ILS</v>
      </c>
    </row>
    <row r="31" spans="1:16">
      <c r="A31">
        <v>29</v>
      </c>
      <c r="B31" s="42" t="s">
        <v>102</v>
      </c>
      <c r="C31" s="43" t="s">
        <v>68</v>
      </c>
      <c r="D31" s="43" t="s">
        <v>74</v>
      </c>
      <c r="E31" s="43">
        <v>19</v>
      </c>
      <c r="F31" s="43">
        <v>39</v>
      </c>
      <c r="G31" s="43">
        <v>94</v>
      </c>
      <c r="H31" s="43">
        <v>61</v>
      </c>
      <c r="I31" s="43">
        <f t="shared" si="0"/>
        <v>213</v>
      </c>
      <c r="J31" s="44" t="str">
        <f t="shared" si="1"/>
        <v>PASS</v>
      </c>
      <c r="K31" s="44" t="str">
        <f t="shared" si="2"/>
        <v>FAIL</v>
      </c>
      <c r="L31" s="28" t="str">
        <f t="shared" si="3"/>
        <v>AVERAGE</v>
      </c>
      <c r="M31" s="29" t="b">
        <f t="shared" si="4"/>
        <v>0</v>
      </c>
      <c r="N31" s="30" t="str">
        <f t="shared" si="5"/>
        <v>Non Juite</v>
      </c>
      <c r="O31" s="31" t="str">
        <f t="shared" si="6"/>
        <v>ILS</v>
      </c>
      <c r="P31" s="32" t="str">
        <f t="shared" si="7"/>
        <v>ILS</v>
      </c>
    </row>
    <row r="32" spans="1:16">
      <c r="A32">
        <v>30</v>
      </c>
      <c r="B32" s="42" t="s">
        <v>103</v>
      </c>
      <c r="C32" s="43" t="s">
        <v>80</v>
      </c>
      <c r="D32" s="43" t="s">
        <v>78</v>
      </c>
      <c r="E32" s="43">
        <v>65</v>
      </c>
      <c r="F32" s="43">
        <v>68</v>
      </c>
      <c r="G32" s="43">
        <v>67</v>
      </c>
      <c r="H32" s="43">
        <v>26</v>
      </c>
      <c r="I32" s="43">
        <f t="shared" si="0"/>
        <v>226</v>
      </c>
      <c r="J32" s="44" t="str">
        <f t="shared" si="1"/>
        <v>PASS</v>
      </c>
      <c r="K32" s="44" t="str">
        <f t="shared" si="2"/>
        <v>PASS</v>
      </c>
      <c r="L32" s="28" t="str">
        <f t="shared" si="3"/>
        <v>AVERAGE</v>
      </c>
      <c r="M32" s="29" t="b">
        <f t="shared" si="4"/>
        <v>0</v>
      </c>
      <c r="N32" s="30" t="str">
        <f t="shared" si="5"/>
        <v>Non Juite</v>
      </c>
      <c r="O32" s="31" t="str">
        <f t="shared" si="6"/>
        <v>ILS</v>
      </c>
      <c r="P32" s="32" t="str">
        <f t="shared" si="7"/>
        <v>ILS</v>
      </c>
    </row>
    <row r="33" spans="1:16">
      <c r="A33">
        <v>31</v>
      </c>
      <c r="B33" s="42" t="s">
        <v>104</v>
      </c>
      <c r="C33" s="43" t="s">
        <v>68</v>
      </c>
      <c r="D33" s="43" t="s">
        <v>72</v>
      </c>
      <c r="E33" s="43">
        <v>86</v>
      </c>
      <c r="F33" s="43">
        <v>32</v>
      </c>
      <c r="G33" s="43">
        <v>84</v>
      </c>
      <c r="H33" s="43">
        <v>82</v>
      </c>
      <c r="I33" s="43">
        <f t="shared" si="0"/>
        <v>284</v>
      </c>
      <c r="J33" s="44" t="str">
        <f t="shared" si="1"/>
        <v>PASS</v>
      </c>
      <c r="K33" s="44" t="str">
        <f t="shared" si="2"/>
        <v>PASS</v>
      </c>
      <c r="L33" s="28" t="str">
        <f t="shared" si="3"/>
        <v>AVERAGE</v>
      </c>
      <c r="M33" s="29" t="b">
        <f t="shared" si="4"/>
        <v>0</v>
      </c>
      <c r="N33" s="30" t="str">
        <f t="shared" si="5"/>
        <v>Non Juite</v>
      </c>
      <c r="O33" s="31" t="str">
        <f t="shared" si="6"/>
        <v>ILS</v>
      </c>
      <c r="P33" s="32" t="str">
        <f t="shared" si="7"/>
        <v>ILS</v>
      </c>
    </row>
    <row r="34" spans="1:16">
      <c r="A34">
        <v>32</v>
      </c>
      <c r="B34" s="42" t="s">
        <v>105</v>
      </c>
      <c r="C34" s="43" t="s">
        <v>71</v>
      </c>
      <c r="D34" s="43" t="s">
        <v>74</v>
      </c>
      <c r="E34" s="43">
        <v>37</v>
      </c>
      <c r="F34" s="43">
        <v>97</v>
      </c>
      <c r="G34" s="43">
        <v>25</v>
      </c>
      <c r="H34" s="43">
        <v>54</v>
      </c>
      <c r="I34" s="43">
        <f t="shared" si="0"/>
        <v>213</v>
      </c>
      <c r="J34" s="44" t="str">
        <f t="shared" si="1"/>
        <v>FAIL</v>
      </c>
      <c r="K34" s="44" t="str">
        <f t="shared" si="2"/>
        <v>PASS</v>
      </c>
      <c r="L34" s="28" t="str">
        <f t="shared" si="3"/>
        <v>AVERAGE</v>
      </c>
      <c r="M34" s="29" t="b">
        <f t="shared" si="4"/>
        <v>0</v>
      </c>
      <c r="N34" s="30" t="str">
        <f t="shared" si="5"/>
        <v>Non Juite</v>
      </c>
      <c r="O34" s="31" t="str">
        <f t="shared" si="6"/>
        <v>Non ils</v>
      </c>
      <c r="P34" s="32" t="str">
        <f t="shared" si="7"/>
        <v>Non ils</v>
      </c>
    </row>
    <row r="35" spans="1:16">
      <c r="A35">
        <v>33</v>
      </c>
      <c r="B35" s="42" t="s">
        <v>106</v>
      </c>
      <c r="C35" s="43" t="s">
        <v>68</v>
      </c>
      <c r="D35" s="43" t="s">
        <v>69</v>
      </c>
      <c r="E35" s="43">
        <v>91</v>
      </c>
      <c r="F35" s="43">
        <v>52</v>
      </c>
      <c r="G35" s="43">
        <v>50</v>
      </c>
      <c r="H35" s="43">
        <v>93</v>
      </c>
      <c r="I35" s="43">
        <f t="shared" si="0"/>
        <v>286</v>
      </c>
      <c r="J35" s="44" t="str">
        <f t="shared" si="1"/>
        <v>PASS</v>
      </c>
      <c r="K35" s="44" t="str">
        <f t="shared" si="2"/>
        <v>PASS</v>
      </c>
      <c r="L35" s="28" t="str">
        <f t="shared" si="3"/>
        <v>AVERAGE</v>
      </c>
      <c r="M35" s="29" t="b">
        <f t="shared" si="4"/>
        <v>0</v>
      </c>
      <c r="N35" s="30" t="str">
        <f t="shared" si="5"/>
        <v>Non Juite</v>
      </c>
      <c r="O35" s="31" t="str">
        <f t="shared" si="6"/>
        <v>ILS</v>
      </c>
      <c r="P35" s="32" t="str">
        <f t="shared" si="7"/>
        <v>ILS</v>
      </c>
    </row>
    <row r="36" spans="1:16">
      <c r="A36">
        <v>34</v>
      </c>
      <c r="B36" s="42" t="s">
        <v>107</v>
      </c>
      <c r="C36" s="43" t="s">
        <v>71</v>
      </c>
      <c r="D36" s="43" t="s">
        <v>72</v>
      </c>
      <c r="E36" s="43">
        <v>15</v>
      </c>
      <c r="F36" s="43">
        <v>90</v>
      </c>
      <c r="G36" s="43">
        <v>96</v>
      </c>
      <c r="H36" s="43">
        <v>43</v>
      </c>
      <c r="I36" s="43">
        <f t="shared" si="0"/>
        <v>244</v>
      </c>
      <c r="J36" s="44" t="str">
        <f t="shared" si="1"/>
        <v>PASS</v>
      </c>
      <c r="K36" s="44" t="str">
        <f t="shared" si="2"/>
        <v>FAIL</v>
      </c>
      <c r="L36" s="28" t="str">
        <f t="shared" si="3"/>
        <v>AVERAGE</v>
      </c>
      <c r="M36" s="29" t="b">
        <f t="shared" si="4"/>
        <v>0</v>
      </c>
      <c r="N36" s="30" t="str">
        <f t="shared" si="5"/>
        <v>Non Juite</v>
      </c>
      <c r="O36" s="31" t="str">
        <f t="shared" si="6"/>
        <v>Non ils</v>
      </c>
      <c r="P36" s="32" t="str">
        <f t="shared" si="7"/>
        <v>Non ils</v>
      </c>
    </row>
    <row r="37" spans="1:16">
      <c r="A37">
        <v>35</v>
      </c>
      <c r="B37" s="42" t="s">
        <v>108</v>
      </c>
      <c r="C37" s="43" t="s">
        <v>68</v>
      </c>
      <c r="D37" s="43" t="s">
        <v>74</v>
      </c>
      <c r="E37" s="43">
        <v>63</v>
      </c>
      <c r="F37" s="43">
        <v>54</v>
      </c>
      <c r="G37" s="43">
        <v>87</v>
      </c>
      <c r="H37" s="43">
        <v>58</v>
      </c>
      <c r="I37" s="43">
        <f t="shared" si="0"/>
        <v>262</v>
      </c>
      <c r="J37" s="44" t="str">
        <f t="shared" si="1"/>
        <v>PASS</v>
      </c>
      <c r="K37" s="44" t="str">
        <f t="shared" si="2"/>
        <v>PASS</v>
      </c>
      <c r="L37" s="28" t="str">
        <f t="shared" si="3"/>
        <v>AVERAGE</v>
      </c>
      <c r="M37" s="29" t="b">
        <f t="shared" si="4"/>
        <v>0</v>
      </c>
      <c r="N37" s="30" t="str">
        <f t="shared" si="5"/>
        <v>Non Juite</v>
      </c>
      <c r="O37" s="31" t="str">
        <f t="shared" si="6"/>
        <v>ILS</v>
      </c>
      <c r="P37" s="32" t="str">
        <f t="shared" si="7"/>
        <v>ILS</v>
      </c>
    </row>
    <row r="38" spans="1:16">
      <c r="A38">
        <v>36</v>
      </c>
      <c r="B38" s="42" t="s">
        <v>109</v>
      </c>
      <c r="C38" s="43" t="s">
        <v>68</v>
      </c>
      <c r="D38" s="43" t="s">
        <v>78</v>
      </c>
      <c r="E38" s="43">
        <v>33</v>
      </c>
      <c r="F38" s="43">
        <v>93</v>
      </c>
      <c r="G38" s="43">
        <v>79</v>
      </c>
      <c r="H38" s="43">
        <v>38</v>
      </c>
      <c r="I38" s="43">
        <f t="shared" si="0"/>
        <v>243</v>
      </c>
      <c r="J38" s="44" t="str">
        <f t="shared" si="1"/>
        <v>PASS</v>
      </c>
      <c r="K38" s="44" t="str">
        <f t="shared" si="2"/>
        <v>FAIL</v>
      </c>
      <c r="L38" s="28" t="str">
        <f t="shared" si="3"/>
        <v>AVERAGE</v>
      </c>
      <c r="M38" s="29" t="b">
        <f t="shared" si="4"/>
        <v>0</v>
      </c>
      <c r="N38" s="30" t="str">
        <f t="shared" si="5"/>
        <v>Non Juite</v>
      </c>
      <c r="O38" s="31" t="str">
        <f t="shared" si="6"/>
        <v>ILS</v>
      </c>
      <c r="P38" s="32" t="str">
        <f t="shared" si="7"/>
        <v>ILS</v>
      </c>
    </row>
    <row r="39" spans="1:16">
      <c r="A39">
        <v>37</v>
      </c>
      <c r="B39" s="42" t="s">
        <v>110</v>
      </c>
      <c r="C39" s="43" t="s">
        <v>71</v>
      </c>
      <c r="D39" s="43" t="s">
        <v>74</v>
      </c>
      <c r="E39" s="43">
        <v>74</v>
      </c>
      <c r="F39" s="43">
        <v>59</v>
      </c>
      <c r="G39" s="43">
        <v>95</v>
      </c>
      <c r="H39" s="43">
        <v>91</v>
      </c>
      <c r="I39" s="43">
        <f t="shared" si="0"/>
        <v>319</v>
      </c>
      <c r="J39" s="44" t="str">
        <f t="shared" si="1"/>
        <v>PASS</v>
      </c>
      <c r="K39" s="44" t="str">
        <f t="shared" si="2"/>
        <v>PASS</v>
      </c>
      <c r="L39" s="28" t="str">
        <f t="shared" si="3"/>
        <v>EXCELLENT</v>
      </c>
      <c r="M39" s="29" t="b">
        <f t="shared" si="4"/>
        <v>0</v>
      </c>
      <c r="N39" s="30" t="str">
        <f t="shared" si="5"/>
        <v>Non Juite</v>
      </c>
      <c r="O39" s="31" t="str">
        <f t="shared" si="6"/>
        <v>Non ils</v>
      </c>
      <c r="P39" s="32" t="str">
        <f t="shared" si="7"/>
        <v>Non ils</v>
      </c>
    </row>
    <row r="40" spans="1:16">
      <c r="A40">
        <v>38</v>
      </c>
      <c r="B40" s="42" t="s">
        <v>111</v>
      </c>
      <c r="C40" s="43" t="s">
        <v>68</v>
      </c>
      <c r="D40" s="43" t="s">
        <v>78</v>
      </c>
      <c r="E40" s="43">
        <v>33</v>
      </c>
      <c r="F40" s="43">
        <v>38</v>
      </c>
      <c r="G40" s="43">
        <v>66</v>
      </c>
      <c r="H40" s="43">
        <v>79</v>
      </c>
      <c r="I40" s="43">
        <f t="shared" si="0"/>
        <v>216</v>
      </c>
      <c r="J40" s="44" t="str">
        <f t="shared" si="1"/>
        <v>PASS</v>
      </c>
      <c r="K40" s="44" t="str">
        <f t="shared" si="2"/>
        <v>FAIL</v>
      </c>
      <c r="L40" s="28" t="str">
        <f t="shared" si="3"/>
        <v>AVERAGE</v>
      </c>
      <c r="M40" s="29" t="b">
        <f t="shared" si="4"/>
        <v>0</v>
      </c>
      <c r="N40" s="30" t="str">
        <f t="shared" si="5"/>
        <v>Non Juite</v>
      </c>
      <c r="O40" s="31" t="str">
        <f t="shared" si="6"/>
        <v>ILS</v>
      </c>
      <c r="P40" s="32" t="str">
        <f t="shared" si="7"/>
        <v>ILS</v>
      </c>
    </row>
    <row r="41" spans="1:16">
      <c r="A41">
        <v>39</v>
      </c>
      <c r="B41" s="42" t="s">
        <v>112</v>
      </c>
      <c r="C41" s="43" t="s">
        <v>68</v>
      </c>
      <c r="D41" s="43" t="s">
        <v>72</v>
      </c>
      <c r="E41" s="43">
        <v>64</v>
      </c>
      <c r="F41" s="43">
        <v>35</v>
      </c>
      <c r="G41" s="43">
        <v>83</v>
      </c>
      <c r="H41" s="43">
        <v>45</v>
      </c>
      <c r="I41" s="43">
        <f t="shared" si="0"/>
        <v>227</v>
      </c>
      <c r="J41" s="44" t="str">
        <f t="shared" si="1"/>
        <v>PASS</v>
      </c>
      <c r="K41" s="44" t="str">
        <f t="shared" si="2"/>
        <v>PASS</v>
      </c>
      <c r="L41" s="28" t="str">
        <f t="shared" si="3"/>
        <v>AVERAGE</v>
      </c>
      <c r="M41" s="29" t="b">
        <f t="shared" si="4"/>
        <v>0</v>
      </c>
      <c r="N41" s="30" t="str">
        <f t="shared" si="5"/>
        <v>Non Juite</v>
      </c>
      <c r="O41" s="31" t="str">
        <f t="shared" si="6"/>
        <v>ILS</v>
      </c>
      <c r="P41" s="32" t="str">
        <f t="shared" si="7"/>
        <v>ILS</v>
      </c>
    </row>
    <row r="42" spans="1:16">
      <c r="A42">
        <v>40</v>
      </c>
      <c r="B42" s="42" t="s">
        <v>113</v>
      </c>
      <c r="C42" s="43" t="s">
        <v>71</v>
      </c>
      <c r="D42" s="43" t="s">
        <v>78</v>
      </c>
      <c r="E42" s="43">
        <v>73</v>
      </c>
      <c r="F42" s="43">
        <v>44</v>
      </c>
      <c r="G42" s="43">
        <v>72</v>
      </c>
      <c r="H42" s="43">
        <v>36</v>
      </c>
      <c r="I42" s="43">
        <f t="shared" si="0"/>
        <v>225</v>
      </c>
      <c r="J42" s="44" t="str">
        <f t="shared" si="1"/>
        <v>PASS</v>
      </c>
      <c r="K42" s="44" t="str">
        <f t="shared" si="2"/>
        <v>PASS</v>
      </c>
      <c r="L42" s="28" t="str">
        <f t="shared" si="3"/>
        <v>AVERAGE</v>
      </c>
      <c r="M42" s="29" t="b">
        <f t="shared" si="4"/>
        <v>1</v>
      </c>
      <c r="N42" s="30" t="str">
        <f t="shared" si="5"/>
        <v xml:space="preserve"> Juite</v>
      </c>
      <c r="O42" s="31" t="str">
        <f t="shared" si="6"/>
        <v>Non ils</v>
      </c>
      <c r="P42" s="32" t="str">
        <f t="shared" si="7"/>
        <v>Non ils</v>
      </c>
    </row>
    <row r="43" spans="1:16">
      <c r="A43">
        <v>41</v>
      </c>
      <c r="B43" s="42" t="s">
        <v>114</v>
      </c>
      <c r="C43" s="43" t="s">
        <v>68</v>
      </c>
      <c r="D43" s="43" t="s">
        <v>69</v>
      </c>
      <c r="E43" s="43">
        <v>60</v>
      </c>
      <c r="F43" s="43">
        <v>35</v>
      </c>
      <c r="G43" s="43">
        <v>32</v>
      </c>
      <c r="H43" s="43">
        <v>81</v>
      </c>
      <c r="I43" s="43">
        <f t="shared" si="0"/>
        <v>208</v>
      </c>
      <c r="J43" s="44" t="str">
        <f t="shared" si="1"/>
        <v>FAIL</v>
      </c>
      <c r="K43" s="44" t="str">
        <f t="shared" si="2"/>
        <v>PASS</v>
      </c>
      <c r="L43" s="28" t="str">
        <f t="shared" si="3"/>
        <v>AVERAGE</v>
      </c>
      <c r="M43" s="29" t="b">
        <f t="shared" si="4"/>
        <v>0</v>
      </c>
      <c r="N43" s="30" t="str">
        <f t="shared" si="5"/>
        <v>Non Juite</v>
      </c>
      <c r="O43" s="31" t="str">
        <f t="shared" si="6"/>
        <v>ILS</v>
      </c>
      <c r="P43" s="32" t="str">
        <f t="shared" si="7"/>
        <v>ILS</v>
      </c>
    </row>
    <row r="44" spans="1:16">
      <c r="A44">
        <v>42</v>
      </c>
      <c r="B44" s="42" t="s">
        <v>115</v>
      </c>
      <c r="C44" s="43" t="s">
        <v>80</v>
      </c>
      <c r="D44" s="43" t="s">
        <v>78</v>
      </c>
      <c r="E44" s="43">
        <v>91</v>
      </c>
      <c r="F44" s="43">
        <v>69</v>
      </c>
      <c r="G44" s="43">
        <v>95</v>
      </c>
      <c r="H44" s="43">
        <v>70</v>
      </c>
      <c r="I44" s="43">
        <f t="shared" si="0"/>
        <v>325</v>
      </c>
      <c r="J44" s="44" t="str">
        <f t="shared" si="1"/>
        <v>PASS</v>
      </c>
      <c r="K44" s="44" t="str">
        <f t="shared" si="2"/>
        <v>PASS</v>
      </c>
      <c r="L44" s="28" t="str">
        <f t="shared" si="3"/>
        <v>EXCELLENT</v>
      </c>
      <c r="M44" s="29" t="b">
        <f t="shared" si="4"/>
        <v>0</v>
      </c>
      <c r="N44" s="30" t="str">
        <f t="shared" si="5"/>
        <v>Non Juite</v>
      </c>
      <c r="O44" s="31" t="str">
        <f t="shared" si="6"/>
        <v>ILS</v>
      </c>
      <c r="P44" s="32" t="str">
        <f t="shared" si="7"/>
        <v>ILS</v>
      </c>
    </row>
    <row r="45" spans="1:16">
      <c r="A45">
        <v>43</v>
      </c>
      <c r="B45" s="42" t="s">
        <v>116</v>
      </c>
      <c r="C45" s="43" t="s">
        <v>80</v>
      </c>
      <c r="D45" s="43" t="s">
        <v>78</v>
      </c>
      <c r="E45" s="43">
        <v>45</v>
      </c>
      <c r="F45" s="43">
        <v>87</v>
      </c>
      <c r="G45" s="43">
        <v>65</v>
      </c>
      <c r="H45" s="43">
        <v>49</v>
      </c>
      <c r="I45" s="43">
        <f t="shared" si="0"/>
        <v>246</v>
      </c>
      <c r="J45" s="44" t="str">
        <f t="shared" si="1"/>
        <v>PASS</v>
      </c>
      <c r="K45" s="44" t="str">
        <f t="shared" si="2"/>
        <v>PASS</v>
      </c>
      <c r="L45" s="28" t="str">
        <f t="shared" si="3"/>
        <v>AVERAGE</v>
      </c>
      <c r="M45" s="29" t="b">
        <f t="shared" si="4"/>
        <v>0</v>
      </c>
      <c r="N45" s="30" t="str">
        <f t="shared" si="5"/>
        <v>Non Juite</v>
      </c>
      <c r="O45" s="31" t="str">
        <f t="shared" si="6"/>
        <v>ILS</v>
      </c>
      <c r="P45" s="32" t="str">
        <f t="shared" si="7"/>
        <v>ILS</v>
      </c>
    </row>
    <row r="46" spans="1:16">
      <c r="A46">
        <v>44</v>
      </c>
      <c r="B46" s="42" t="s">
        <v>117</v>
      </c>
      <c r="C46" s="43" t="s">
        <v>68</v>
      </c>
      <c r="D46" s="43" t="s">
        <v>69</v>
      </c>
      <c r="E46" s="43">
        <v>36</v>
      </c>
      <c r="F46" s="43">
        <v>64</v>
      </c>
      <c r="G46" s="43">
        <v>44</v>
      </c>
      <c r="H46" s="43">
        <v>71</v>
      </c>
      <c r="I46" s="43">
        <f t="shared" si="0"/>
        <v>215</v>
      </c>
      <c r="J46" s="44" t="str">
        <f t="shared" si="1"/>
        <v>PASS</v>
      </c>
      <c r="K46" s="44" t="str">
        <f t="shared" si="2"/>
        <v>PASS</v>
      </c>
      <c r="L46" s="28" t="str">
        <f t="shared" si="3"/>
        <v>AVERAGE</v>
      </c>
      <c r="M46" s="29" t="b">
        <f t="shared" si="4"/>
        <v>0</v>
      </c>
      <c r="N46" s="30" t="str">
        <f t="shared" si="5"/>
        <v>Non Juite</v>
      </c>
      <c r="O46" s="31" t="str">
        <f t="shared" si="6"/>
        <v>ILS</v>
      </c>
      <c r="P46" s="32" t="str">
        <f t="shared" si="7"/>
        <v>ILS</v>
      </c>
    </row>
    <row r="47" spans="1:16">
      <c r="A47">
        <v>45</v>
      </c>
      <c r="B47" s="42" t="s">
        <v>118</v>
      </c>
      <c r="C47" s="43" t="s">
        <v>80</v>
      </c>
      <c r="D47" s="43" t="s">
        <v>72</v>
      </c>
      <c r="E47" s="43">
        <v>54</v>
      </c>
      <c r="F47" s="43">
        <v>93</v>
      </c>
      <c r="G47" s="43">
        <v>54</v>
      </c>
      <c r="H47" s="43">
        <v>100</v>
      </c>
      <c r="I47" s="43">
        <f t="shared" si="0"/>
        <v>301</v>
      </c>
      <c r="J47" s="44" t="str">
        <f t="shared" si="1"/>
        <v>PASS</v>
      </c>
      <c r="K47" s="44" t="str">
        <f t="shared" si="2"/>
        <v>PASS</v>
      </c>
      <c r="L47" s="28" t="str">
        <f t="shared" si="3"/>
        <v>EXCELLENT</v>
      </c>
      <c r="M47" s="29" t="b">
        <f t="shared" si="4"/>
        <v>0</v>
      </c>
      <c r="N47" s="30" t="str">
        <f t="shared" si="5"/>
        <v>Non Juite</v>
      </c>
      <c r="O47" s="31" t="str">
        <f t="shared" si="6"/>
        <v>ILS</v>
      </c>
      <c r="P47" s="32" t="str">
        <f t="shared" si="7"/>
        <v>ILS</v>
      </c>
    </row>
    <row r="48" spans="1:16">
      <c r="A48">
        <v>46</v>
      </c>
      <c r="B48" s="42" t="s">
        <v>119</v>
      </c>
      <c r="C48" s="43" t="s">
        <v>68</v>
      </c>
      <c r="D48" s="43" t="s">
        <v>74</v>
      </c>
      <c r="E48" s="43">
        <v>74</v>
      </c>
      <c r="F48" s="43">
        <v>60</v>
      </c>
      <c r="G48" s="43">
        <v>70</v>
      </c>
      <c r="H48" s="43">
        <v>70</v>
      </c>
      <c r="I48" s="43">
        <f t="shared" si="0"/>
        <v>274</v>
      </c>
      <c r="J48" s="44" t="str">
        <f t="shared" si="1"/>
        <v>PASS</v>
      </c>
      <c r="K48" s="44" t="str">
        <f t="shared" si="2"/>
        <v>PASS</v>
      </c>
      <c r="L48" s="28" t="str">
        <f t="shared" si="3"/>
        <v>AVERAGE</v>
      </c>
      <c r="M48" s="29" t="b">
        <f t="shared" si="4"/>
        <v>0</v>
      </c>
      <c r="N48" s="30" t="str">
        <f t="shared" si="5"/>
        <v>Non Juite</v>
      </c>
      <c r="O48" s="31" t="str">
        <f t="shared" si="6"/>
        <v>ILS</v>
      </c>
      <c r="P48" s="32" t="str">
        <f t="shared" si="7"/>
        <v>ILS</v>
      </c>
    </row>
    <row r="49" spans="1:16">
      <c r="A49">
        <v>47</v>
      </c>
      <c r="B49" s="42" t="s">
        <v>120</v>
      </c>
      <c r="C49" s="43" t="s">
        <v>71</v>
      </c>
      <c r="D49" s="43" t="s">
        <v>78</v>
      </c>
      <c r="E49" s="43">
        <v>43</v>
      </c>
      <c r="F49" s="43">
        <v>53</v>
      </c>
      <c r="G49" s="43">
        <v>32</v>
      </c>
      <c r="H49" s="43">
        <v>53</v>
      </c>
      <c r="I49" s="43">
        <f t="shared" si="0"/>
        <v>181</v>
      </c>
      <c r="J49" s="44" t="str">
        <f t="shared" si="1"/>
        <v>FAIL</v>
      </c>
      <c r="K49" s="44" t="str">
        <f t="shared" si="2"/>
        <v>PASS</v>
      </c>
      <c r="L49" s="28" t="str">
        <f t="shared" si="3"/>
        <v>NEEDS IMPROVEMENT</v>
      </c>
      <c r="M49" s="29" t="b">
        <f t="shared" si="4"/>
        <v>0</v>
      </c>
      <c r="N49" s="30" t="str">
        <f t="shared" si="5"/>
        <v xml:space="preserve"> Juite</v>
      </c>
      <c r="O49" s="31" t="str">
        <f t="shared" si="6"/>
        <v>Non ils</v>
      </c>
      <c r="P49" s="32" t="str">
        <f t="shared" si="7"/>
        <v>Non ils</v>
      </c>
    </row>
    <row r="50" spans="1:16">
      <c r="A50">
        <v>48</v>
      </c>
      <c r="B50" s="42" t="s">
        <v>121</v>
      </c>
      <c r="C50" s="43" t="s">
        <v>68</v>
      </c>
      <c r="D50" s="43" t="s">
        <v>69</v>
      </c>
      <c r="E50" s="43">
        <v>27</v>
      </c>
      <c r="F50" s="43">
        <v>48</v>
      </c>
      <c r="G50" s="43">
        <v>94</v>
      </c>
      <c r="H50" s="43">
        <v>56</v>
      </c>
      <c r="I50" s="43">
        <f t="shared" si="0"/>
        <v>225</v>
      </c>
      <c r="J50" s="44" t="str">
        <f t="shared" si="1"/>
        <v>PASS</v>
      </c>
      <c r="K50" s="44" t="str">
        <f t="shared" si="2"/>
        <v>FAIL</v>
      </c>
      <c r="L50" s="28" t="str">
        <f t="shared" si="3"/>
        <v>AVERAGE</v>
      </c>
      <c r="M50" s="29" t="b">
        <f t="shared" si="4"/>
        <v>0</v>
      </c>
      <c r="N50" s="30" t="str">
        <f t="shared" si="5"/>
        <v>Non Juite</v>
      </c>
      <c r="O50" s="31" t="str">
        <f t="shared" si="6"/>
        <v>ILS</v>
      </c>
      <c r="P50" s="32" t="str">
        <f t="shared" si="7"/>
        <v>ILS</v>
      </c>
    </row>
    <row r="51" spans="1:16">
      <c r="A51">
        <v>49</v>
      </c>
      <c r="B51" s="42" t="s">
        <v>122</v>
      </c>
      <c r="C51" s="43" t="s">
        <v>71</v>
      </c>
      <c r="D51" s="43" t="s">
        <v>69</v>
      </c>
      <c r="E51" s="43">
        <v>68</v>
      </c>
      <c r="F51" s="43">
        <v>77</v>
      </c>
      <c r="G51" s="43">
        <v>74</v>
      </c>
      <c r="H51" s="43">
        <v>76</v>
      </c>
      <c r="I51" s="43">
        <f t="shared" si="0"/>
        <v>295</v>
      </c>
      <c r="J51" s="44" t="str">
        <f t="shared" si="1"/>
        <v>PASS</v>
      </c>
      <c r="K51" s="44" t="str">
        <f t="shared" si="2"/>
        <v>PASS</v>
      </c>
      <c r="L51" s="28" t="str">
        <f t="shared" si="3"/>
        <v>AVERAGE</v>
      </c>
      <c r="M51" s="29" t="b">
        <f t="shared" si="4"/>
        <v>0</v>
      </c>
      <c r="N51" s="30" t="str">
        <f t="shared" si="5"/>
        <v>Non Juite</v>
      </c>
      <c r="O51" s="31" t="str">
        <f t="shared" si="6"/>
        <v>Non ils</v>
      </c>
      <c r="P51" s="32" t="str">
        <f t="shared" si="7"/>
        <v>Non ils</v>
      </c>
    </row>
    <row r="52" spans="1:16">
      <c r="A52">
        <v>50</v>
      </c>
      <c r="B52" s="42" t="s">
        <v>123</v>
      </c>
      <c r="C52" s="43" t="s">
        <v>71</v>
      </c>
      <c r="D52" s="43" t="s">
        <v>72</v>
      </c>
      <c r="E52" s="43">
        <v>40</v>
      </c>
      <c r="F52" s="43">
        <v>28</v>
      </c>
      <c r="G52" s="43">
        <v>61</v>
      </c>
      <c r="H52" s="43">
        <v>65</v>
      </c>
      <c r="I52" s="43">
        <f t="shared" si="0"/>
        <v>194</v>
      </c>
      <c r="J52" s="44" t="str">
        <f t="shared" si="1"/>
        <v>PASS</v>
      </c>
      <c r="K52" s="44" t="str">
        <f t="shared" si="2"/>
        <v>PASS</v>
      </c>
      <c r="L52" s="28" t="str">
        <f t="shared" si="3"/>
        <v>NEEDS IMPROVEMENT</v>
      </c>
      <c r="M52" s="29" t="b">
        <f t="shared" si="4"/>
        <v>0</v>
      </c>
      <c r="N52" s="30" t="str">
        <f t="shared" si="5"/>
        <v>Non Juite</v>
      </c>
      <c r="O52" s="31" t="str">
        <f t="shared" si="6"/>
        <v>Non ils</v>
      </c>
      <c r="P52" s="32" t="str">
        <f t="shared" si="7"/>
        <v>Non ils</v>
      </c>
    </row>
    <row r="53" spans="1:16">
      <c r="A53">
        <v>51</v>
      </c>
      <c r="B53" s="42" t="s">
        <v>124</v>
      </c>
      <c r="C53" s="43" t="s">
        <v>68</v>
      </c>
      <c r="D53" s="43" t="s">
        <v>74</v>
      </c>
      <c r="E53" s="43">
        <v>22</v>
      </c>
      <c r="F53" s="43">
        <v>55</v>
      </c>
      <c r="G53" s="43">
        <v>42</v>
      </c>
      <c r="H53" s="43">
        <v>35</v>
      </c>
      <c r="I53" s="43">
        <f t="shared" si="0"/>
        <v>154</v>
      </c>
      <c r="J53" s="44" t="str">
        <f t="shared" si="1"/>
        <v>PASS</v>
      </c>
      <c r="K53" s="44" t="str">
        <f t="shared" si="2"/>
        <v>FAIL</v>
      </c>
      <c r="L53" s="28" t="str">
        <f t="shared" si="3"/>
        <v>NEEDS IMPROVEMENT</v>
      </c>
      <c r="M53" s="29" t="b">
        <f t="shared" si="4"/>
        <v>0</v>
      </c>
      <c r="N53" s="30" t="str">
        <f t="shared" si="5"/>
        <v>Non Juite</v>
      </c>
      <c r="O53" s="31" t="str">
        <f t="shared" si="6"/>
        <v>ILS</v>
      </c>
      <c r="P53" s="32" t="str">
        <f t="shared" si="7"/>
        <v>ILS</v>
      </c>
    </row>
    <row r="54" spans="1:16">
      <c r="A54">
        <v>52</v>
      </c>
      <c r="B54" s="42" t="s">
        <v>125</v>
      </c>
      <c r="C54" s="43" t="s">
        <v>71</v>
      </c>
      <c r="D54" s="43" t="s">
        <v>78</v>
      </c>
      <c r="E54" s="43">
        <v>75</v>
      </c>
      <c r="F54" s="43">
        <v>75</v>
      </c>
      <c r="G54" s="43">
        <v>40</v>
      </c>
      <c r="H54" s="43">
        <v>40</v>
      </c>
      <c r="I54" s="43">
        <f t="shared" si="0"/>
        <v>230</v>
      </c>
      <c r="J54" s="44" t="str">
        <f t="shared" si="1"/>
        <v>PASS</v>
      </c>
      <c r="K54" s="44" t="str">
        <f t="shared" si="2"/>
        <v>PASS</v>
      </c>
      <c r="L54" s="28" t="str">
        <f t="shared" si="3"/>
        <v>AVERAGE</v>
      </c>
      <c r="M54" s="29" t="b">
        <f t="shared" si="4"/>
        <v>0</v>
      </c>
      <c r="N54" s="30" t="str">
        <f t="shared" si="5"/>
        <v xml:space="preserve"> Juite</v>
      </c>
      <c r="O54" s="31" t="str">
        <f t="shared" si="6"/>
        <v>Non ils</v>
      </c>
      <c r="P54" s="32" t="str">
        <f t="shared" si="7"/>
        <v>Non ils</v>
      </c>
    </row>
    <row r="55" spans="1:16">
      <c r="A55">
        <v>53</v>
      </c>
      <c r="B55" s="42" t="s">
        <v>126</v>
      </c>
      <c r="C55" s="43" t="s">
        <v>80</v>
      </c>
      <c r="D55" s="43" t="s">
        <v>69</v>
      </c>
      <c r="E55" s="43">
        <v>21</v>
      </c>
      <c r="F55" s="43">
        <v>39</v>
      </c>
      <c r="G55" s="43">
        <v>56</v>
      </c>
      <c r="H55" s="43">
        <v>85</v>
      </c>
      <c r="I55" s="43">
        <f t="shared" si="0"/>
        <v>201</v>
      </c>
      <c r="J55" s="44" t="str">
        <f t="shared" si="1"/>
        <v>PASS</v>
      </c>
      <c r="K55" s="44" t="str">
        <f t="shared" si="2"/>
        <v>FAIL</v>
      </c>
      <c r="L55" s="28" t="str">
        <f t="shared" si="3"/>
        <v>AVERAGE</v>
      </c>
      <c r="M55" s="29" t="b">
        <f t="shared" si="4"/>
        <v>0</v>
      </c>
      <c r="N55" s="30" t="str">
        <f t="shared" si="5"/>
        <v>Non Juite</v>
      </c>
      <c r="O55" s="31" t="str">
        <f t="shared" si="6"/>
        <v>ILS</v>
      </c>
      <c r="P55" s="32" t="str">
        <f t="shared" si="7"/>
        <v>ILS</v>
      </c>
    </row>
    <row r="56" spans="1:16">
      <c r="A56">
        <v>54</v>
      </c>
      <c r="B56" s="42" t="s">
        <v>127</v>
      </c>
      <c r="C56" s="43" t="s">
        <v>71</v>
      </c>
      <c r="D56" s="43" t="s">
        <v>74</v>
      </c>
      <c r="E56" s="43">
        <v>48</v>
      </c>
      <c r="F56" s="43">
        <v>99</v>
      </c>
      <c r="G56" s="43">
        <v>55</v>
      </c>
      <c r="H56" s="43">
        <v>78</v>
      </c>
      <c r="I56" s="43">
        <f t="shared" si="0"/>
        <v>280</v>
      </c>
      <c r="J56" s="44" t="str">
        <f t="shared" si="1"/>
        <v>PASS</v>
      </c>
      <c r="K56" s="44" t="str">
        <f t="shared" si="2"/>
        <v>PASS</v>
      </c>
      <c r="L56" s="28" t="str">
        <f t="shared" si="3"/>
        <v>AVERAGE</v>
      </c>
      <c r="M56" s="29" t="b">
        <f t="shared" si="4"/>
        <v>0</v>
      </c>
      <c r="N56" s="30" t="str">
        <f t="shared" si="5"/>
        <v>Non Juite</v>
      </c>
      <c r="O56" s="31" t="str">
        <f t="shared" si="6"/>
        <v>Non ils</v>
      </c>
      <c r="P56" s="32" t="str">
        <f t="shared" si="7"/>
        <v>Non ils</v>
      </c>
    </row>
    <row r="57" spans="1:16">
      <c r="A57">
        <v>55</v>
      </c>
      <c r="B57" s="42" t="s">
        <v>128</v>
      </c>
      <c r="C57" s="43" t="s">
        <v>71</v>
      </c>
      <c r="D57" s="43" t="s">
        <v>78</v>
      </c>
      <c r="E57" s="43">
        <v>83</v>
      </c>
      <c r="F57" s="43">
        <v>60</v>
      </c>
      <c r="G57" s="43">
        <v>89</v>
      </c>
      <c r="H57" s="43">
        <v>48</v>
      </c>
      <c r="I57" s="43">
        <f t="shared" si="0"/>
        <v>280</v>
      </c>
      <c r="J57" s="44" t="str">
        <f t="shared" si="1"/>
        <v>PASS</v>
      </c>
      <c r="K57" s="44" t="str">
        <f t="shared" si="2"/>
        <v>PASS</v>
      </c>
      <c r="L57" s="28" t="str">
        <f t="shared" si="3"/>
        <v>AVERAGE</v>
      </c>
      <c r="M57" s="29" t="b">
        <f t="shared" si="4"/>
        <v>1</v>
      </c>
      <c r="N57" s="30" t="str">
        <f t="shared" si="5"/>
        <v xml:space="preserve"> Juite</v>
      </c>
      <c r="O57" s="31" t="str">
        <f t="shared" si="6"/>
        <v>Non ils</v>
      </c>
      <c r="P57" s="32" t="str">
        <f t="shared" si="7"/>
        <v>Non ils</v>
      </c>
    </row>
    <row r="58" spans="1:16">
      <c r="A58">
        <v>56</v>
      </c>
      <c r="B58" s="42" t="s">
        <v>129</v>
      </c>
      <c r="C58" s="43" t="s">
        <v>71</v>
      </c>
      <c r="D58" s="43" t="s">
        <v>74</v>
      </c>
      <c r="E58" s="43">
        <v>46</v>
      </c>
      <c r="F58" s="43">
        <v>41</v>
      </c>
      <c r="G58" s="43">
        <v>85</v>
      </c>
      <c r="H58" s="43">
        <v>74</v>
      </c>
      <c r="I58" s="43">
        <f t="shared" si="0"/>
        <v>246</v>
      </c>
      <c r="J58" s="44" t="str">
        <f t="shared" si="1"/>
        <v>PASS</v>
      </c>
      <c r="K58" s="44" t="str">
        <f t="shared" si="2"/>
        <v>PASS</v>
      </c>
      <c r="L58" s="28" t="str">
        <f t="shared" si="3"/>
        <v>AVERAGE</v>
      </c>
      <c r="M58" s="29" t="b">
        <f t="shared" si="4"/>
        <v>0</v>
      </c>
      <c r="N58" s="30" t="str">
        <f t="shared" si="5"/>
        <v>Non Juite</v>
      </c>
      <c r="O58" s="31" t="str">
        <f t="shared" si="6"/>
        <v>Non ils</v>
      </c>
      <c r="P58" s="32" t="str">
        <f t="shared" si="7"/>
        <v>Non ils</v>
      </c>
    </row>
    <row r="59" spans="1:16">
      <c r="A59">
        <v>57</v>
      </c>
      <c r="B59" s="42" t="s">
        <v>130</v>
      </c>
      <c r="C59" s="43" t="s">
        <v>80</v>
      </c>
      <c r="D59" s="43" t="s">
        <v>78</v>
      </c>
      <c r="E59" s="43">
        <v>74</v>
      </c>
      <c r="F59" s="43">
        <v>67</v>
      </c>
      <c r="G59" s="43">
        <v>26</v>
      </c>
      <c r="H59" s="43">
        <v>91</v>
      </c>
      <c r="I59" s="43">
        <f t="shared" si="0"/>
        <v>258</v>
      </c>
      <c r="J59" s="44" t="str">
        <f t="shared" si="1"/>
        <v>FAIL</v>
      </c>
      <c r="K59" s="44" t="str">
        <f t="shared" si="2"/>
        <v>PASS</v>
      </c>
      <c r="L59" s="28" t="str">
        <f t="shared" si="3"/>
        <v>AVERAGE</v>
      </c>
      <c r="M59" s="29" t="b">
        <f t="shared" si="4"/>
        <v>0</v>
      </c>
      <c r="N59" s="30" t="str">
        <f t="shared" si="5"/>
        <v>Non Juite</v>
      </c>
      <c r="O59" s="31" t="str">
        <f t="shared" si="6"/>
        <v>ILS</v>
      </c>
      <c r="P59" s="32" t="str">
        <f t="shared" si="7"/>
        <v>ILS</v>
      </c>
    </row>
    <row r="60" spans="1:16">
      <c r="A60">
        <v>58</v>
      </c>
      <c r="B60" s="42" t="s">
        <v>131</v>
      </c>
      <c r="C60" s="43" t="s">
        <v>80</v>
      </c>
      <c r="D60" s="43" t="s">
        <v>69</v>
      </c>
      <c r="E60" s="43">
        <v>48</v>
      </c>
      <c r="F60" s="43">
        <v>29</v>
      </c>
      <c r="G60" s="43">
        <v>43</v>
      </c>
      <c r="H60" s="43">
        <v>71</v>
      </c>
      <c r="I60" s="43">
        <f t="shared" si="0"/>
        <v>191</v>
      </c>
      <c r="J60" s="44" t="str">
        <f t="shared" si="1"/>
        <v>PASS</v>
      </c>
      <c r="K60" s="44" t="str">
        <f t="shared" si="2"/>
        <v>PASS</v>
      </c>
      <c r="L60" s="28" t="str">
        <f t="shared" si="3"/>
        <v>NEEDS IMPROVEMENT</v>
      </c>
      <c r="M60" s="29" t="b">
        <f t="shared" si="4"/>
        <v>0</v>
      </c>
      <c r="N60" s="30" t="str">
        <f t="shared" si="5"/>
        <v>Non Juite</v>
      </c>
      <c r="O60" s="31" t="str">
        <f t="shared" si="6"/>
        <v>ILS</v>
      </c>
      <c r="P60" s="32" t="str">
        <f t="shared" si="7"/>
        <v>ILS</v>
      </c>
    </row>
    <row r="61" spans="1:16">
      <c r="A61">
        <v>59</v>
      </c>
      <c r="B61" s="42" t="s">
        <v>132</v>
      </c>
      <c r="C61" s="43" t="s">
        <v>80</v>
      </c>
      <c r="D61" s="43" t="s">
        <v>72</v>
      </c>
      <c r="E61" s="43">
        <v>20</v>
      </c>
      <c r="F61" s="43">
        <v>62</v>
      </c>
      <c r="G61" s="43">
        <v>51</v>
      </c>
      <c r="H61" s="43">
        <v>71</v>
      </c>
      <c r="I61" s="43">
        <f t="shared" si="0"/>
        <v>204</v>
      </c>
      <c r="J61" s="44" t="str">
        <f t="shared" si="1"/>
        <v>PASS</v>
      </c>
      <c r="K61" s="44" t="str">
        <f t="shared" si="2"/>
        <v>FAIL</v>
      </c>
      <c r="L61" s="28" t="str">
        <f t="shared" si="3"/>
        <v>AVERAGE</v>
      </c>
      <c r="M61" s="29" t="b">
        <f t="shared" si="4"/>
        <v>0</v>
      </c>
      <c r="N61" s="30" t="str">
        <f t="shared" si="5"/>
        <v>Non Juite</v>
      </c>
      <c r="O61" s="31" t="str">
        <f t="shared" si="6"/>
        <v>ILS</v>
      </c>
      <c r="P61" s="32" t="str">
        <f t="shared" si="7"/>
        <v>ILS</v>
      </c>
    </row>
    <row r="62" spans="1:16">
      <c r="A62">
        <v>60</v>
      </c>
      <c r="B62" s="42" t="s">
        <v>133</v>
      </c>
      <c r="C62" s="43" t="s">
        <v>71</v>
      </c>
      <c r="D62" s="43" t="s">
        <v>74</v>
      </c>
      <c r="E62" s="43">
        <v>34</v>
      </c>
      <c r="F62" s="43">
        <v>79</v>
      </c>
      <c r="G62" s="43">
        <v>81</v>
      </c>
      <c r="H62" s="43">
        <v>100</v>
      </c>
      <c r="I62" s="43">
        <f t="shared" si="0"/>
        <v>294</v>
      </c>
      <c r="J62" s="44" t="str">
        <f t="shared" si="1"/>
        <v>PASS</v>
      </c>
      <c r="K62" s="44" t="str">
        <f t="shared" si="2"/>
        <v>FAIL</v>
      </c>
      <c r="L62" s="28" t="str">
        <f t="shared" si="3"/>
        <v>AVERAGE</v>
      </c>
      <c r="M62" s="29" t="b">
        <f t="shared" si="4"/>
        <v>0</v>
      </c>
      <c r="N62" s="30" t="str">
        <f t="shared" si="5"/>
        <v>Non Juite</v>
      </c>
      <c r="O62" s="31" t="str">
        <f t="shared" si="6"/>
        <v>Non ils</v>
      </c>
      <c r="P62" s="32" t="str">
        <f t="shared" si="7"/>
        <v>Non ils</v>
      </c>
    </row>
    <row r="63" spans="1:16">
      <c r="A63">
        <v>61</v>
      </c>
      <c r="B63" s="42" t="s">
        <v>134</v>
      </c>
      <c r="C63" s="43" t="s">
        <v>71</v>
      </c>
      <c r="D63" s="43" t="s">
        <v>74</v>
      </c>
      <c r="E63" s="43">
        <v>84</v>
      </c>
      <c r="F63" s="43">
        <v>44</v>
      </c>
      <c r="G63" s="43">
        <v>61</v>
      </c>
      <c r="H63" s="43">
        <v>32</v>
      </c>
      <c r="I63" s="43">
        <f t="shared" si="0"/>
        <v>221</v>
      </c>
      <c r="J63" s="44" t="str">
        <f t="shared" si="1"/>
        <v>PASS</v>
      </c>
      <c r="K63" s="44" t="str">
        <f t="shared" si="2"/>
        <v>PASS</v>
      </c>
      <c r="L63" s="28" t="str">
        <f t="shared" si="3"/>
        <v>AVERAGE</v>
      </c>
      <c r="M63" s="29" t="b">
        <f t="shared" si="4"/>
        <v>0</v>
      </c>
      <c r="N63" s="30" t="str">
        <f t="shared" si="5"/>
        <v>Non Juite</v>
      </c>
      <c r="O63" s="31" t="str">
        <f t="shared" si="6"/>
        <v>Non ils</v>
      </c>
      <c r="P63" s="32" t="str">
        <f t="shared" si="7"/>
        <v>Non ils</v>
      </c>
    </row>
    <row r="64" spans="1:16">
      <c r="A64">
        <v>62</v>
      </c>
      <c r="B64" s="42" t="s">
        <v>135</v>
      </c>
      <c r="C64" s="43" t="s">
        <v>71</v>
      </c>
      <c r="D64" s="43" t="s">
        <v>74</v>
      </c>
      <c r="E64" s="43">
        <v>69</v>
      </c>
      <c r="F64" s="43">
        <v>85</v>
      </c>
      <c r="G64" s="43">
        <v>93</v>
      </c>
      <c r="H64" s="43">
        <v>79</v>
      </c>
      <c r="I64" s="43">
        <f t="shared" si="0"/>
        <v>326</v>
      </c>
      <c r="J64" s="44" t="str">
        <f t="shared" si="1"/>
        <v>PASS</v>
      </c>
      <c r="K64" s="44" t="str">
        <f t="shared" si="2"/>
        <v>PASS</v>
      </c>
      <c r="L64" s="28" t="str">
        <f t="shared" si="3"/>
        <v>EXCELLENT</v>
      </c>
      <c r="M64" s="29" t="b">
        <f t="shared" si="4"/>
        <v>0</v>
      </c>
      <c r="N64" s="30" t="str">
        <f t="shared" si="5"/>
        <v>Non Juite</v>
      </c>
      <c r="O64" s="31" t="str">
        <f t="shared" si="6"/>
        <v>Non ils</v>
      </c>
      <c r="P64" s="32" t="str">
        <f t="shared" si="7"/>
        <v>Non ils</v>
      </c>
    </row>
    <row r="65" spans="1:16">
      <c r="A65">
        <v>63</v>
      </c>
      <c r="B65" s="42" t="s">
        <v>136</v>
      </c>
      <c r="C65" s="43" t="s">
        <v>71</v>
      </c>
      <c r="D65" s="43" t="s">
        <v>78</v>
      </c>
      <c r="E65" s="43">
        <v>63</v>
      </c>
      <c r="F65" s="43">
        <v>96</v>
      </c>
      <c r="G65" s="43">
        <v>31</v>
      </c>
      <c r="H65" s="43">
        <v>73</v>
      </c>
      <c r="I65" s="43">
        <f t="shared" si="0"/>
        <v>263</v>
      </c>
      <c r="J65" s="44" t="str">
        <f t="shared" si="1"/>
        <v>FAIL</v>
      </c>
      <c r="K65" s="44" t="str">
        <f t="shared" si="2"/>
        <v>PASS</v>
      </c>
      <c r="L65" s="28" t="str">
        <f t="shared" si="3"/>
        <v>AVERAGE</v>
      </c>
      <c r="M65" s="29" t="b">
        <f t="shared" si="4"/>
        <v>0</v>
      </c>
      <c r="N65" s="30" t="str">
        <f t="shared" si="5"/>
        <v xml:space="preserve"> Juite</v>
      </c>
      <c r="O65" s="31" t="str">
        <f t="shared" si="6"/>
        <v>Non ils</v>
      </c>
      <c r="P65" s="32" t="str">
        <f t="shared" si="7"/>
        <v>Non ils</v>
      </c>
    </row>
    <row r="66" spans="1:16">
      <c r="A66">
        <v>64</v>
      </c>
      <c r="B66" s="42" t="s">
        <v>137</v>
      </c>
      <c r="C66" s="43" t="s">
        <v>71</v>
      </c>
      <c r="D66" s="43" t="s">
        <v>69</v>
      </c>
      <c r="E66" s="43">
        <v>24</v>
      </c>
      <c r="F66" s="43">
        <v>67</v>
      </c>
      <c r="G66" s="43">
        <v>44</v>
      </c>
      <c r="H66" s="43">
        <v>72</v>
      </c>
      <c r="I66" s="43">
        <f t="shared" si="0"/>
        <v>207</v>
      </c>
      <c r="J66" s="44" t="str">
        <f t="shared" si="1"/>
        <v>PASS</v>
      </c>
      <c r="K66" s="44" t="str">
        <f t="shared" si="2"/>
        <v>FAIL</v>
      </c>
      <c r="L66" s="28" t="str">
        <f t="shared" si="3"/>
        <v>AVERAGE</v>
      </c>
      <c r="M66" s="29" t="b">
        <f t="shared" si="4"/>
        <v>0</v>
      </c>
      <c r="N66" s="30" t="str">
        <f t="shared" si="5"/>
        <v>Non Juite</v>
      </c>
      <c r="O66" s="31" t="str">
        <f t="shared" si="6"/>
        <v>Non ils</v>
      </c>
      <c r="P66" s="32" t="str">
        <f t="shared" si="7"/>
        <v>Non ils</v>
      </c>
    </row>
    <row r="67" spans="1:16">
      <c r="A67">
        <v>65</v>
      </c>
      <c r="B67" s="42" t="s">
        <v>138</v>
      </c>
      <c r="C67" s="43" t="s">
        <v>71</v>
      </c>
      <c r="D67" s="43" t="s">
        <v>69</v>
      </c>
      <c r="E67" s="43">
        <v>19</v>
      </c>
      <c r="F67" s="43">
        <v>37</v>
      </c>
      <c r="G67" s="43">
        <v>50</v>
      </c>
      <c r="H67" s="43">
        <v>55</v>
      </c>
      <c r="I67" s="43">
        <f t="shared" si="0"/>
        <v>161</v>
      </c>
      <c r="J67" s="44" t="str">
        <f t="shared" si="1"/>
        <v>PASS</v>
      </c>
      <c r="K67" s="44" t="str">
        <f t="shared" si="2"/>
        <v>FAIL</v>
      </c>
      <c r="L67" s="28" t="str">
        <f t="shared" si="3"/>
        <v>NEEDS IMPROVEMENT</v>
      </c>
      <c r="M67" s="29" t="b">
        <f t="shared" si="4"/>
        <v>0</v>
      </c>
      <c r="N67" s="30" t="str">
        <f t="shared" si="5"/>
        <v>Non Juite</v>
      </c>
      <c r="O67" s="31" t="str">
        <f t="shared" si="6"/>
        <v>Non ils</v>
      </c>
      <c r="P67" s="32" t="str">
        <f t="shared" si="7"/>
        <v>Non ils</v>
      </c>
    </row>
    <row r="68" spans="1:16">
      <c r="A68">
        <v>66</v>
      </c>
      <c r="B68" s="42" t="s">
        <v>139</v>
      </c>
      <c r="C68" s="43" t="s">
        <v>71</v>
      </c>
      <c r="D68" s="43" t="s">
        <v>78</v>
      </c>
      <c r="E68" s="43">
        <v>88</v>
      </c>
      <c r="F68" s="43">
        <v>35</v>
      </c>
      <c r="G68" s="43">
        <v>39</v>
      </c>
      <c r="H68" s="43">
        <v>73</v>
      </c>
      <c r="I68" s="43">
        <f t="shared" si="0"/>
        <v>235</v>
      </c>
      <c r="J68" s="44" t="str">
        <f t="shared" ref="J68:J102" si="8">IF(G68&gt;=35, "PASS","FAIL")</f>
        <v>PASS</v>
      </c>
      <c r="K68" s="44" t="str">
        <f t="shared" ref="K68:K102" si="9">IF(E68&gt;=35, "PASS","FAIL")</f>
        <v>PASS</v>
      </c>
      <c r="L68" s="28" t="str">
        <f t="shared" ref="L68:L102" si="10">IF(I68&gt;300,"EXCELLENT", IF(I68&gt;=200,"AVERAGE","NEEDS IMPROVEMENT"))</f>
        <v>AVERAGE</v>
      </c>
      <c r="M68" s="29" t="b">
        <f t="shared" ref="M68:M102" si="11">AND(C68="JU",D68="Masters",G68&gt;70)</f>
        <v>0</v>
      </c>
      <c r="N68" s="30" t="str">
        <f t="shared" ref="N68:N102" si="12">IF(AND(C68="JU",D68="Masters")," Juite","Non Juite")</f>
        <v xml:space="preserve"> Juite</v>
      </c>
      <c r="O68" s="31" t="str">
        <f t="shared" ref="O68:O102" si="13">IF(OR(C68="CU",C68="JNU"),"ILS","Non ils")</f>
        <v>Non ils</v>
      </c>
      <c r="P68" s="32" t="str">
        <f t="shared" ref="P68:P102" si="14">IF(NOT(C68="JU"),"ILS","Non ils")</f>
        <v>Non ils</v>
      </c>
    </row>
    <row r="69" spans="1:16">
      <c r="A69">
        <v>67</v>
      </c>
      <c r="B69" s="42" t="s">
        <v>140</v>
      </c>
      <c r="C69" s="43" t="s">
        <v>80</v>
      </c>
      <c r="D69" s="43" t="s">
        <v>69</v>
      </c>
      <c r="E69" s="43">
        <v>53</v>
      </c>
      <c r="F69" s="43">
        <v>63</v>
      </c>
      <c r="G69" s="43">
        <v>51</v>
      </c>
      <c r="H69" s="43">
        <v>47</v>
      </c>
      <c r="I69" s="43">
        <f t="shared" si="0"/>
        <v>214</v>
      </c>
      <c r="J69" s="44" t="str">
        <f t="shared" si="8"/>
        <v>PASS</v>
      </c>
      <c r="K69" s="44" t="str">
        <f t="shared" si="9"/>
        <v>PASS</v>
      </c>
      <c r="L69" s="28" t="str">
        <f t="shared" si="10"/>
        <v>AVERAGE</v>
      </c>
      <c r="M69" s="29" t="b">
        <f t="shared" si="11"/>
        <v>0</v>
      </c>
      <c r="N69" s="30" t="str">
        <f t="shared" si="12"/>
        <v>Non Juite</v>
      </c>
      <c r="O69" s="31" t="str">
        <f t="shared" si="13"/>
        <v>ILS</v>
      </c>
      <c r="P69" s="32" t="str">
        <f t="shared" si="14"/>
        <v>ILS</v>
      </c>
    </row>
    <row r="70" spans="1:16">
      <c r="A70">
        <v>68</v>
      </c>
      <c r="B70" s="42" t="s">
        <v>141</v>
      </c>
      <c r="C70" s="43" t="s">
        <v>68</v>
      </c>
      <c r="D70" s="43" t="s">
        <v>74</v>
      </c>
      <c r="E70" s="43">
        <v>71</v>
      </c>
      <c r="F70" s="43">
        <v>58</v>
      </c>
      <c r="G70" s="43">
        <v>82</v>
      </c>
      <c r="H70" s="43">
        <v>87</v>
      </c>
      <c r="I70" s="43">
        <f t="shared" si="0"/>
        <v>298</v>
      </c>
      <c r="J70" s="44" t="str">
        <f t="shared" si="8"/>
        <v>PASS</v>
      </c>
      <c r="K70" s="44" t="str">
        <f t="shared" si="9"/>
        <v>PASS</v>
      </c>
      <c r="L70" s="28" t="str">
        <f t="shared" si="10"/>
        <v>AVERAGE</v>
      </c>
      <c r="M70" s="29" t="b">
        <f t="shared" si="11"/>
        <v>0</v>
      </c>
      <c r="N70" s="30" t="str">
        <f t="shared" si="12"/>
        <v>Non Juite</v>
      </c>
      <c r="O70" s="31" t="str">
        <f t="shared" si="13"/>
        <v>ILS</v>
      </c>
      <c r="P70" s="32" t="str">
        <f t="shared" si="14"/>
        <v>ILS</v>
      </c>
    </row>
    <row r="71" spans="1:16">
      <c r="A71">
        <v>69</v>
      </c>
      <c r="B71" s="42" t="s">
        <v>142</v>
      </c>
      <c r="C71" s="43" t="s">
        <v>71</v>
      </c>
      <c r="D71" s="43" t="s">
        <v>74</v>
      </c>
      <c r="E71" s="43">
        <v>41</v>
      </c>
      <c r="F71" s="43">
        <v>80</v>
      </c>
      <c r="G71" s="43">
        <v>47</v>
      </c>
      <c r="H71" s="43">
        <v>38</v>
      </c>
      <c r="I71" s="43">
        <f t="shared" si="0"/>
        <v>206</v>
      </c>
      <c r="J71" s="44" t="str">
        <f t="shared" si="8"/>
        <v>PASS</v>
      </c>
      <c r="K71" s="44" t="str">
        <f t="shared" si="9"/>
        <v>PASS</v>
      </c>
      <c r="L71" s="28" t="str">
        <f t="shared" si="10"/>
        <v>AVERAGE</v>
      </c>
      <c r="M71" s="29" t="b">
        <f t="shared" si="11"/>
        <v>0</v>
      </c>
      <c r="N71" s="30" t="str">
        <f t="shared" si="12"/>
        <v>Non Juite</v>
      </c>
      <c r="O71" s="31" t="str">
        <f t="shared" si="13"/>
        <v>Non ils</v>
      </c>
      <c r="P71" s="32" t="str">
        <f t="shared" si="14"/>
        <v>Non ils</v>
      </c>
    </row>
    <row r="72" spans="1:16">
      <c r="A72">
        <v>70</v>
      </c>
      <c r="B72" s="42" t="s">
        <v>143</v>
      </c>
      <c r="C72" s="43" t="s">
        <v>68</v>
      </c>
      <c r="D72" s="43" t="s">
        <v>78</v>
      </c>
      <c r="E72" s="43">
        <v>18</v>
      </c>
      <c r="F72" s="43">
        <v>52</v>
      </c>
      <c r="G72" s="43">
        <v>67</v>
      </c>
      <c r="H72" s="43">
        <v>83</v>
      </c>
      <c r="I72" s="43">
        <f t="shared" si="0"/>
        <v>220</v>
      </c>
      <c r="J72" s="44" t="str">
        <f t="shared" si="8"/>
        <v>PASS</v>
      </c>
      <c r="K72" s="44" t="str">
        <f t="shared" si="9"/>
        <v>FAIL</v>
      </c>
      <c r="L72" s="28" t="str">
        <f t="shared" si="10"/>
        <v>AVERAGE</v>
      </c>
      <c r="M72" s="29" t="b">
        <f t="shared" si="11"/>
        <v>0</v>
      </c>
      <c r="N72" s="30" t="str">
        <f t="shared" si="12"/>
        <v>Non Juite</v>
      </c>
      <c r="O72" s="31" t="str">
        <f t="shared" si="13"/>
        <v>ILS</v>
      </c>
      <c r="P72" s="32" t="str">
        <f t="shared" si="14"/>
        <v>ILS</v>
      </c>
    </row>
    <row r="73" spans="1:16">
      <c r="A73">
        <v>71</v>
      </c>
      <c r="B73" s="42" t="s">
        <v>144</v>
      </c>
      <c r="C73" s="43" t="s">
        <v>68</v>
      </c>
      <c r="D73" s="43" t="s">
        <v>74</v>
      </c>
      <c r="E73" s="43">
        <v>22</v>
      </c>
      <c r="F73" s="43">
        <v>91</v>
      </c>
      <c r="G73" s="43">
        <v>100</v>
      </c>
      <c r="H73" s="43">
        <v>32</v>
      </c>
      <c r="I73" s="43">
        <f t="shared" si="0"/>
        <v>245</v>
      </c>
      <c r="J73" s="44" t="str">
        <f t="shared" si="8"/>
        <v>PASS</v>
      </c>
      <c r="K73" s="44" t="str">
        <f t="shared" si="9"/>
        <v>FAIL</v>
      </c>
      <c r="L73" s="28" t="str">
        <f t="shared" si="10"/>
        <v>AVERAGE</v>
      </c>
      <c r="M73" s="29" t="b">
        <f t="shared" si="11"/>
        <v>0</v>
      </c>
      <c r="N73" s="30" t="str">
        <f t="shared" si="12"/>
        <v>Non Juite</v>
      </c>
      <c r="O73" s="31" t="str">
        <f t="shared" si="13"/>
        <v>ILS</v>
      </c>
      <c r="P73" s="32" t="str">
        <f t="shared" si="14"/>
        <v>ILS</v>
      </c>
    </row>
    <row r="74" spans="1:16">
      <c r="A74">
        <v>72</v>
      </c>
      <c r="B74" s="42" t="s">
        <v>145</v>
      </c>
      <c r="C74" s="43" t="s">
        <v>71</v>
      </c>
      <c r="D74" s="43" t="s">
        <v>74</v>
      </c>
      <c r="E74" s="43">
        <v>61</v>
      </c>
      <c r="F74" s="43">
        <v>56</v>
      </c>
      <c r="G74" s="43">
        <v>89</v>
      </c>
      <c r="H74" s="43">
        <v>93</v>
      </c>
      <c r="I74" s="43">
        <f t="shared" si="0"/>
        <v>299</v>
      </c>
      <c r="J74" s="44" t="str">
        <f t="shared" si="8"/>
        <v>PASS</v>
      </c>
      <c r="K74" s="44" t="str">
        <f t="shared" si="9"/>
        <v>PASS</v>
      </c>
      <c r="L74" s="28" t="str">
        <f t="shared" si="10"/>
        <v>AVERAGE</v>
      </c>
      <c r="M74" s="29" t="b">
        <f t="shared" si="11"/>
        <v>0</v>
      </c>
      <c r="N74" s="30" t="str">
        <f t="shared" si="12"/>
        <v>Non Juite</v>
      </c>
      <c r="O74" s="31" t="str">
        <f t="shared" si="13"/>
        <v>Non ils</v>
      </c>
      <c r="P74" s="32" t="str">
        <f t="shared" si="14"/>
        <v>Non ils</v>
      </c>
    </row>
    <row r="75" spans="1:16">
      <c r="A75">
        <v>73</v>
      </c>
      <c r="B75" s="42" t="s">
        <v>146</v>
      </c>
      <c r="C75" s="43" t="s">
        <v>71</v>
      </c>
      <c r="D75" s="43" t="s">
        <v>69</v>
      </c>
      <c r="E75" s="43">
        <v>56</v>
      </c>
      <c r="F75" s="43">
        <v>45</v>
      </c>
      <c r="G75" s="43">
        <v>45</v>
      </c>
      <c r="H75" s="43">
        <v>82</v>
      </c>
      <c r="I75" s="43">
        <f t="shared" si="0"/>
        <v>228</v>
      </c>
      <c r="J75" s="44" t="str">
        <f t="shared" si="8"/>
        <v>PASS</v>
      </c>
      <c r="K75" s="44" t="str">
        <f t="shared" si="9"/>
        <v>PASS</v>
      </c>
      <c r="L75" s="28" t="str">
        <f t="shared" si="10"/>
        <v>AVERAGE</v>
      </c>
      <c r="M75" s="29" t="b">
        <f t="shared" si="11"/>
        <v>0</v>
      </c>
      <c r="N75" s="30" t="str">
        <f t="shared" si="12"/>
        <v>Non Juite</v>
      </c>
      <c r="O75" s="31" t="str">
        <f t="shared" si="13"/>
        <v>Non ils</v>
      </c>
      <c r="P75" s="32" t="str">
        <f t="shared" si="14"/>
        <v>Non ils</v>
      </c>
    </row>
    <row r="76" spans="1:16">
      <c r="A76">
        <v>74</v>
      </c>
      <c r="B76" s="42" t="s">
        <v>147</v>
      </c>
      <c r="C76" s="43" t="s">
        <v>80</v>
      </c>
      <c r="D76" s="43" t="s">
        <v>69</v>
      </c>
      <c r="E76" s="43">
        <v>41</v>
      </c>
      <c r="F76" s="43">
        <v>97</v>
      </c>
      <c r="G76" s="43">
        <v>39</v>
      </c>
      <c r="H76" s="43">
        <v>98</v>
      </c>
      <c r="I76" s="43">
        <f t="shared" si="0"/>
        <v>275</v>
      </c>
      <c r="J76" s="44" t="str">
        <f t="shared" si="8"/>
        <v>PASS</v>
      </c>
      <c r="K76" s="44" t="str">
        <f t="shared" si="9"/>
        <v>PASS</v>
      </c>
      <c r="L76" s="28" t="str">
        <f t="shared" si="10"/>
        <v>AVERAGE</v>
      </c>
      <c r="M76" s="29" t="b">
        <f t="shared" si="11"/>
        <v>0</v>
      </c>
      <c r="N76" s="30" t="str">
        <f t="shared" si="12"/>
        <v>Non Juite</v>
      </c>
      <c r="O76" s="31" t="str">
        <f t="shared" si="13"/>
        <v>ILS</v>
      </c>
      <c r="P76" s="32" t="str">
        <f t="shared" si="14"/>
        <v>ILS</v>
      </c>
    </row>
    <row r="77" spans="1:16">
      <c r="A77">
        <v>75</v>
      </c>
      <c r="B77" s="42" t="s">
        <v>148</v>
      </c>
      <c r="C77" s="43" t="s">
        <v>80</v>
      </c>
      <c r="D77" s="43" t="s">
        <v>72</v>
      </c>
      <c r="E77" s="43">
        <v>65</v>
      </c>
      <c r="F77" s="43">
        <v>67</v>
      </c>
      <c r="G77" s="43">
        <v>64</v>
      </c>
      <c r="H77" s="43">
        <v>55</v>
      </c>
      <c r="I77" s="43">
        <f t="shared" si="0"/>
        <v>251</v>
      </c>
      <c r="J77" s="44" t="str">
        <f t="shared" si="8"/>
        <v>PASS</v>
      </c>
      <c r="K77" s="44" t="str">
        <f t="shared" si="9"/>
        <v>PASS</v>
      </c>
      <c r="L77" s="28" t="str">
        <f t="shared" si="10"/>
        <v>AVERAGE</v>
      </c>
      <c r="M77" s="29" t="b">
        <f t="shared" si="11"/>
        <v>0</v>
      </c>
      <c r="N77" s="30" t="str">
        <f t="shared" si="12"/>
        <v>Non Juite</v>
      </c>
      <c r="O77" s="31" t="str">
        <f t="shared" si="13"/>
        <v>ILS</v>
      </c>
      <c r="P77" s="32" t="str">
        <f t="shared" si="14"/>
        <v>ILS</v>
      </c>
    </row>
    <row r="78" spans="1:16">
      <c r="A78">
        <v>76</v>
      </c>
      <c r="B78" s="42" t="s">
        <v>149</v>
      </c>
      <c r="C78" s="43" t="s">
        <v>80</v>
      </c>
      <c r="D78" s="43" t="s">
        <v>72</v>
      </c>
      <c r="E78" s="43">
        <v>94</v>
      </c>
      <c r="F78" s="43">
        <v>96</v>
      </c>
      <c r="G78" s="43">
        <v>25</v>
      </c>
      <c r="H78" s="43">
        <v>32</v>
      </c>
      <c r="I78" s="43">
        <f t="shared" si="0"/>
        <v>247</v>
      </c>
      <c r="J78" s="44" t="str">
        <f t="shared" si="8"/>
        <v>FAIL</v>
      </c>
      <c r="K78" s="44" t="str">
        <f t="shared" si="9"/>
        <v>PASS</v>
      </c>
      <c r="L78" s="28" t="str">
        <f t="shared" si="10"/>
        <v>AVERAGE</v>
      </c>
      <c r="M78" s="29" t="b">
        <f t="shared" si="11"/>
        <v>0</v>
      </c>
      <c r="N78" s="30" t="str">
        <f t="shared" si="12"/>
        <v>Non Juite</v>
      </c>
      <c r="O78" s="31" t="str">
        <f t="shared" si="13"/>
        <v>ILS</v>
      </c>
      <c r="P78" s="32" t="str">
        <f t="shared" si="14"/>
        <v>ILS</v>
      </c>
    </row>
    <row r="79" spans="1:16">
      <c r="A79">
        <v>77</v>
      </c>
      <c r="B79" s="42" t="s">
        <v>150</v>
      </c>
      <c r="C79" s="43" t="s">
        <v>68</v>
      </c>
      <c r="D79" s="43" t="s">
        <v>74</v>
      </c>
      <c r="E79" s="43">
        <v>57</v>
      </c>
      <c r="F79" s="43">
        <v>84</v>
      </c>
      <c r="G79" s="43">
        <v>85</v>
      </c>
      <c r="H79" s="43">
        <v>47</v>
      </c>
      <c r="I79" s="43">
        <f t="shared" si="0"/>
        <v>273</v>
      </c>
      <c r="J79" s="44" t="str">
        <f t="shared" si="8"/>
        <v>PASS</v>
      </c>
      <c r="K79" s="44" t="str">
        <f t="shared" si="9"/>
        <v>PASS</v>
      </c>
      <c r="L79" s="28" t="str">
        <f t="shared" si="10"/>
        <v>AVERAGE</v>
      </c>
      <c r="M79" s="29" t="b">
        <f t="shared" si="11"/>
        <v>0</v>
      </c>
      <c r="N79" s="30" t="str">
        <f t="shared" si="12"/>
        <v>Non Juite</v>
      </c>
      <c r="O79" s="31" t="str">
        <f t="shared" si="13"/>
        <v>ILS</v>
      </c>
      <c r="P79" s="32" t="str">
        <f t="shared" si="14"/>
        <v>ILS</v>
      </c>
    </row>
    <row r="80" spans="1:16">
      <c r="A80">
        <v>78</v>
      </c>
      <c r="B80" s="42" t="s">
        <v>151</v>
      </c>
      <c r="C80" s="43" t="s">
        <v>68</v>
      </c>
      <c r="D80" s="43" t="s">
        <v>74</v>
      </c>
      <c r="E80" s="43">
        <v>91</v>
      </c>
      <c r="F80" s="43">
        <v>63</v>
      </c>
      <c r="G80" s="43">
        <v>26</v>
      </c>
      <c r="H80" s="43">
        <v>46</v>
      </c>
      <c r="I80" s="43">
        <f t="shared" si="0"/>
        <v>226</v>
      </c>
      <c r="J80" s="44" t="str">
        <f t="shared" si="8"/>
        <v>FAIL</v>
      </c>
      <c r="K80" s="44" t="str">
        <f t="shared" si="9"/>
        <v>PASS</v>
      </c>
      <c r="L80" s="28" t="str">
        <f t="shared" si="10"/>
        <v>AVERAGE</v>
      </c>
      <c r="M80" s="29" t="b">
        <f t="shared" si="11"/>
        <v>0</v>
      </c>
      <c r="N80" s="30" t="str">
        <f t="shared" si="12"/>
        <v>Non Juite</v>
      </c>
      <c r="O80" s="31" t="str">
        <f t="shared" si="13"/>
        <v>ILS</v>
      </c>
      <c r="P80" s="32" t="str">
        <f t="shared" si="14"/>
        <v>ILS</v>
      </c>
    </row>
    <row r="81" spans="1:16">
      <c r="A81">
        <v>79</v>
      </c>
      <c r="B81" s="42" t="s">
        <v>152</v>
      </c>
      <c r="C81" s="43" t="s">
        <v>71</v>
      </c>
      <c r="D81" s="43" t="s">
        <v>78</v>
      </c>
      <c r="E81" s="43">
        <v>74</v>
      </c>
      <c r="F81" s="43">
        <v>55</v>
      </c>
      <c r="G81" s="43">
        <v>72</v>
      </c>
      <c r="H81" s="43">
        <v>79</v>
      </c>
      <c r="I81" s="43">
        <f t="shared" si="0"/>
        <v>280</v>
      </c>
      <c r="J81" s="44" t="str">
        <f t="shared" si="8"/>
        <v>PASS</v>
      </c>
      <c r="K81" s="44" t="str">
        <f t="shared" si="9"/>
        <v>PASS</v>
      </c>
      <c r="L81" s="28" t="str">
        <f t="shared" si="10"/>
        <v>AVERAGE</v>
      </c>
      <c r="M81" s="29" t="b">
        <f t="shared" si="11"/>
        <v>1</v>
      </c>
      <c r="N81" s="30" t="str">
        <f t="shared" si="12"/>
        <v xml:space="preserve"> Juite</v>
      </c>
      <c r="O81" s="31" t="str">
        <f t="shared" si="13"/>
        <v>Non ils</v>
      </c>
      <c r="P81" s="32" t="str">
        <f t="shared" si="14"/>
        <v>Non ils</v>
      </c>
    </row>
    <row r="82" spans="1:16">
      <c r="A82">
        <v>80</v>
      </c>
      <c r="B82" s="42" t="s">
        <v>153</v>
      </c>
      <c r="C82" s="43" t="s">
        <v>80</v>
      </c>
      <c r="D82" s="43" t="s">
        <v>78</v>
      </c>
      <c r="E82" s="43">
        <v>18</v>
      </c>
      <c r="F82" s="43">
        <v>92</v>
      </c>
      <c r="G82" s="43">
        <v>67</v>
      </c>
      <c r="H82" s="43">
        <v>31</v>
      </c>
      <c r="I82" s="43">
        <f t="shared" si="0"/>
        <v>208</v>
      </c>
      <c r="J82" s="44" t="str">
        <f t="shared" si="8"/>
        <v>PASS</v>
      </c>
      <c r="K82" s="44" t="str">
        <f t="shared" si="9"/>
        <v>FAIL</v>
      </c>
      <c r="L82" s="28" t="str">
        <f t="shared" si="10"/>
        <v>AVERAGE</v>
      </c>
      <c r="M82" s="29" t="b">
        <f t="shared" si="11"/>
        <v>0</v>
      </c>
      <c r="N82" s="30" t="str">
        <f t="shared" si="12"/>
        <v>Non Juite</v>
      </c>
      <c r="O82" s="31" t="str">
        <f t="shared" si="13"/>
        <v>ILS</v>
      </c>
      <c r="P82" s="32" t="str">
        <f t="shared" si="14"/>
        <v>ILS</v>
      </c>
    </row>
    <row r="83" spans="1:16">
      <c r="A83">
        <v>81</v>
      </c>
      <c r="B83" s="42" t="s">
        <v>154</v>
      </c>
      <c r="C83" s="43" t="s">
        <v>80</v>
      </c>
      <c r="D83" s="43" t="s">
        <v>74</v>
      </c>
      <c r="E83" s="43">
        <v>94</v>
      </c>
      <c r="F83" s="43">
        <v>46</v>
      </c>
      <c r="G83" s="43">
        <v>36</v>
      </c>
      <c r="H83" s="43">
        <v>31</v>
      </c>
      <c r="I83" s="43">
        <f t="shared" si="0"/>
        <v>207</v>
      </c>
      <c r="J83" s="44" t="str">
        <f t="shared" si="8"/>
        <v>PASS</v>
      </c>
      <c r="K83" s="44" t="str">
        <f t="shared" si="9"/>
        <v>PASS</v>
      </c>
      <c r="L83" s="28" t="str">
        <f t="shared" si="10"/>
        <v>AVERAGE</v>
      </c>
      <c r="M83" s="29" t="b">
        <f t="shared" si="11"/>
        <v>0</v>
      </c>
      <c r="N83" s="30" t="str">
        <f t="shared" si="12"/>
        <v>Non Juite</v>
      </c>
      <c r="O83" s="31" t="str">
        <f t="shared" si="13"/>
        <v>ILS</v>
      </c>
      <c r="P83" s="32" t="str">
        <f t="shared" si="14"/>
        <v>ILS</v>
      </c>
    </row>
    <row r="84" spans="1:16">
      <c r="A84">
        <v>82</v>
      </c>
      <c r="B84" s="42" t="s">
        <v>155</v>
      </c>
      <c r="C84" s="43" t="s">
        <v>71</v>
      </c>
      <c r="D84" s="43" t="s">
        <v>69</v>
      </c>
      <c r="E84" s="43">
        <v>52</v>
      </c>
      <c r="F84" s="43">
        <v>43</v>
      </c>
      <c r="G84" s="43">
        <v>78</v>
      </c>
      <c r="H84" s="43">
        <v>42</v>
      </c>
      <c r="I84" s="43">
        <f t="shared" si="0"/>
        <v>215</v>
      </c>
      <c r="J84" s="44" t="str">
        <f t="shared" si="8"/>
        <v>PASS</v>
      </c>
      <c r="K84" s="44" t="str">
        <f t="shared" si="9"/>
        <v>PASS</v>
      </c>
      <c r="L84" s="28" t="str">
        <f t="shared" si="10"/>
        <v>AVERAGE</v>
      </c>
      <c r="M84" s="29" t="b">
        <f t="shared" si="11"/>
        <v>0</v>
      </c>
      <c r="N84" s="30" t="str">
        <f t="shared" si="12"/>
        <v>Non Juite</v>
      </c>
      <c r="O84" s="31" t="str">
        <f t="shared" si="13"/>
        <v>Non ils</v>
      </c>
      <c r="P84" s="32" t="str">
        <f t="shared" si="14"/>
        <v>Non ils</v>
      </c>
    </row>
    <row r="85" spans="1:16">
      <c r="A85">
        <v>83</v>
      </c>
      <c r="B85" s="42" t="s">
        <v>156</v>
      </c>
      <c r="C85" s="43" t="s">
        <v>71</v>
      </c>
      <c r="D85" s="43" t="s">
        <v>72</v>
      </c>
      <c r="E85" s="43">
        <v>49</v>
      </c>
      <c r="F85" s="43">
        <v>27</v>
      </c>
      <c r="G85" s="43">
        <v>28</v>
      </c>
      <c r="H85" s="43">
        <v>88</v>
      </c>
      <c r="I85" s="43">
        <f t="shared" si="0"/>
        <v>192</v>
      </c>
      <c r="J85" s="44" t="str">
        <f t="shared" si="8"/>
        <v>FAIL</v>
      </c>
      <c r="K85" s="44" t="str">
        <f t="shared" si="9"/>
        <v>PASS</v>
      </c>
      <c r="L85" s="28" t="str">
        <f t="shared" si="10"/>
        <v>NEEDS IMPROVEMENT</v>
      </c>
      <c r="M85" s="29" t="b">
        <f t="shared" si="11"/>
        <v>0</v>
      </c>
      <c r="N85" s="30" t="str">
        <f t="shared" si="12"/>
        <v>Non Juite</v>
      </c>
      <c r="O85" s="31" t="str">
        <f t="shared" si="13"/>
        <v>Non ils</v>
      </c>
      <c r="P85" s="32" t="str">
        <f t="shared" si="14"/>
        <v>Non ils</v>
      </c>
    </row>
    <row r="86" spans="1:16">
      <c r="A86">
        <v>84</v>
      </c>
      <c r="B86" s="42" t="s">
        <v>157</v>
      </c>
      <c r="C86" s="43" t="s">
        <v>71</v>
      </c>
      <c r="D86" s="43" t="s">
        <v>72</v>
      </c>
      <c r="E86" s="43">
        <v>65</v>
      </c>
      <c r="F86" s="43">
        <v>86</v>
      </c>
      <c r="G86" s="43">
        <v>56</v>
      </c>
      <c r="H86" s="43">
        <v>34</v>
      </c>
      <c r="I86" s="43">
        <f t="shared" si="0"/>
        <v>241</v>
      </c>
      <c r="J86" s="44" t="str">
        <f t="shared" si="8"/>
        <v>PASS</v>
      </c>
      <c r="K86" s="44" t="str">
        <f t="shared" si="9"/>
        <v>PASS</v>
      </c>
      <c r="L86" s="28" t="str">
        <f t="shared" si="10"/>
        <v>AVERAGE</v>
      </c>
      <c r="M86" s="29" t="b">
        <f t="shared" si="11"/>
        <v>0</v>
      </c>
      <c r="N86" s="30" t="str">
        <f t="shared" si="12"/>
        <v>Non Juite</v>
      </c>
      <c r="O86" s="31" t="str">
        <f t="shared" si="13"/>
        <v>Non ils</v>
      </c>
      <c r="P86" s="32" t="str">
        <f t="shared" si="14"/>
        <v>Non ils</v>
      </c>
    </row>
    <row r="87" spans="1:16">
      <c r="A87">
        <v>85</v>
      </c>
      <c r="B87" s="42" t="s">
        <v>158</v>
      </c>
      <c r="C87" s="43" t="s">
        <v>68</v>
      </c>
      <c r="D87" s="43" t="s">
        <v>69</v>
      </c>
      <c r="E87" s="43">
        <v>58</v>
      </c>
      <c r="F87" s="43">
        <v>87</v>
      </c>
      <c r="G87" s="43">
        <v>93</v>
      </c>
      <c r="H87" s="43">
        <v>35</v>
      </c>
      <c r="I87" s="43">
        <f t="shared" si="0"/>
        <v>273</v>
      </c>
      <c r="J87" s="44" t="str">
        <f t="shared" si="8"/>
        <v>PASS</v>
      </c>
      <c r="K87" s="44" t="str">
        <f t="shared" si="9"/>
        <v>PASS</v>
      </c>
      <c r="L87" s="28" t="str">
        <f t="shared" si="10"/>
        <v>AVERAGE</v>
      </c>
      <c r="M87" s="29" t="b">
        <f t="shared" si="11"/>
        <v>0</v>
      </c>
      <c r="N87" s="30" t="str">
        <f t="shared" si="12"/>
        <v>Non Juite</v>
      </c>
      <c r="O87" s="31" t="str">
        <f t="shared" si="13"/>
        <v>ILS</v>
      </c>
      <c r="P87" s="32" t="str">
        <f t="shared" si="14"/>
        <v>ILS</v>
      </c>
    </row>
    <row r="88" spans="1:16">
      <c r="A88">
        <v>86</v>
      </c>
      <c r="B88" s="42" t="s">
        <v>159</v>
      </c>
      <c r="C88" s="43" t="s">
        <v>68</v>
      </c>
      <c r="D88" s="43" t="s">
        <v>72</v>
      </c>
      <c r="E88" s="43">
        <v>58</v>
      </c>
      <c r="F88" s="43">
        <v>74</v>
      </c>
      <c r="G88" s="43">
        <v>76</v>
      </c>
      <c r="H88" s="43">
        <v>69</v>
      </c>
      <c r="I88" s="43">
        <f t="shared" si="0"/>
        <v>277</v>
      </c>
      <c r="J88" s="44" t="str">
        <f t="shared" si="8"/>
        <v>PASS</v>
      </c>
      <c r="K88" s="44" t="str">
        <f t="shared" si="9"/>
        <v>PASS</v>
      </c>
      <c r="L88" s="28" t="str">
        <f t="shared" si="10"/>
        <v>AVERAGE</v>
      </c>
      <c r="M88" s="29" t="b">
        <f t="shared" si="11"/>
        <v>0</v>
      </c>
      <c r="N88" s="30" t="str">
        <f t="shared" si="12"/>
        <v>Non Juite</v>
      </c>
      <c r="O88" s="31" t="str">
        <f t="shared" si="13"/>
        <v>ILS</v>
      </c>
      <c r="P88" s="32" t="str">
        <f t="shared" si="14"/>
        <v>ILS</v>
      </c>
    </row>
    <row r="89" spans="1:16">
      <c r="A89">
        <v>87</v>
      </c>
      <c r="B89" s="42" t="s">
        <v>160</v>
      </c>
      <c r="C89" s="43" t="s">
        <v>80</v>
      </c>
      <c r="D89" s="43" t="s">
        <v>78</v>
      </c>
      <c r="E89" s="43">
        <v>34</v>
      </c>
      <c r="F89" s="43">
        <v>61</v>
      </c>
      <c r="G89" s="43">
        <v>58</v>
      </c>
      <c r="H89" s="43">
        <v>31</v>
      </c>
      <c r="I89" s="43">
        <f t="shared" si="0"/>
        <v>184</v>
      </c>
      <c r="J89" s="44" t="str">
        <f t="shared" si="8"/>
        <v>PASS</v>
      </c>
      <c r="K89" s="44" t="str">
        <f t="shared" si="9"/>
        <v>FAIL</v>
      </c>
      <c r="L89" s="28" t="str">
        <f t="shared" si="10"/>
        <v>NEEDS IMPROVEMENT</v>
      </c>
      <c r="M89" s="29" t="b">
        <f t="shared" si="11"/>
        <v>0</v>
      </c>
      <c r="N89" s="30" t="str">
        <f t="shared" si="12"/>
        <v>Non Juite</v>
      </c>
      <c r="O89" s="31" t="str">
        <f t="shared" si="13"/>
        <v>ILS</v>
      </c>
      <c r="P89" s="32" t="str">
        <f t="shared" si="14"/>
        <v>ILS</v>
      </c>
    </row>
    <row r="90" spans="1:16">
      <c r="A90">
        <v>88</v>
      </c>
      <c r="B90" s="42" t="s">
        <v>161</v>
      </c>
      <c r="C90" s="43" t="s">
        <v>80</v>
      </c>
      <c r="D90" s="43" t="s">
        <v>72</v>
      </c>
      <c r="E90" s="43">
        <v>45</v>
      </c>
      <c r="F90" s="43">
        <v>100</v>
      </c>
      <c r="G90" s="43">
        <v>89</v>
      </c>
      <c r="H90" s="43">
        <v>54</v>
      </c>
      <c r="I90" s="43">
        <f t="shared" si="0"/>
        <v>288</v>
      </c>
      <c r="J90" s="44" t="str">
        <f t="shared" si="8"/>
        <v>PASS</v>
      </c>
      <c r="K90" s="44" t="str">
        <f t="shared" si="9"/>
        <v>PASS</v>
      </c>
      <c r="L90" s="28" t="str">
        <f t="shared" si="10"/>
        <v>AVERAGE</v>
      </c>
      <c r="M90" s="29" t="b">
        <f t="shared" si="11"/>
        <v>0</v>
      </c>
      <c r="N90" s="30" t="str">
        <f t="shared" si="12"/>
        <v>Non Juite</v>
      </c>
      <c r="O90" s="31" t="str">
        <f t="shared" si="13"/>
        <v>ILS</v>
      </c>
      <c r="P90" s="32" t="str">
        <f t="shared" si="14"/>
        <v>ILS</v>
      </c>
    </row>
    <row r="91" spans="1:16">
      <c r="A91">
        <v>89</v>
      </c>
      <c r="B91" s="42" t="s">
        <v>162</v>
      </c>
      <c r="C91" s="43" t="s">
        <v>71</v>
      </c>
      <c r="D91" s="43" t="s">
        <v>72</v>
      </c>
      <c r="E91" s="43">
        <v>15</v>
      </c>
      <c r="F91" s="43">
        <v>81</v>
      </c>
      <c r="G91" s="43">
        <v>69</v>
      </c>
      <c r="H91" s="43">
        <v>77</v>
      </c>
      <c r="I91" s="43">
        <f t="shared" si="0"/>
        <v>242</v>
      </c>
      <c r="J91" s="44" t="str">
        <f t="shared" si="8"/>
        <v>PASS</v>
      </c>
      <c r="K91" s="44" t="str">
        <f t="shared" si="9"/>
        <v>FAIL</v>
      </c>
      <c r="L91" s="28" t="str">
        <f t="shared" si="10"/>
        <v>AVERAGE</v>
      </c>
      <c r="M91" s="29" t="b">
        <f t="shared" si="11"/>
        <v>0</v>
      </c>
      <c r="N91" s="30" t="str">
        <f t="shared" si="12"/>
        <v>Non Juite</v>
      </c>
      <c r="O91" s="31" t="str">
        <f t="shared" si="13"/>
        <v>Non ils</v>
      </c>
      <c r="P91" s="32" t="str">
        <f t="shared" si="14"/>
        <v>Non ils</v>
      </c>
    </row>
    <row r="92" spans="1:16">
      <c r="A92">
        <v>90</v>
      </c>
      <c r="B92" s="42" t="s">
        <v>163</v>
      </c>
      <c r="C92" s="43" t="s">
        <v>68</v>
      </c>
      <c r="D92" s="43" t="s">
        <v>69</v>
      </c>
      <c r="E92" s="43">
        <v>29</v>
      </c>
      <c r="F92" s="43">
        <v>32</v>
      </c>
      <c r="G92" s="43">
        <v>41</v>
      </c>
      <c r="H92" s="43">
        <v>75</v>
      </c>
      <c r="I92" s="43">
        <f t="shared" si="0"/>
        <v>177</v>
      </c>
      <c r="J92" s="44" t="str">
        <f t="shared" si="8"/>
        <v>PASS</v>
      </c>
      <c r="K92" s="44" t="str">
        <f t="shared" si="9"/>
        <v>FAIL</v>
      </c>
      <c r="L92" s="28" t="str">
        <f t="shared" si="10"/>
        <v>NEEDS IMPROVEMENT</v>
      </c>
      <c r="M92" s="29" t="b">
        <f t="shared" si="11"/>
        <v>0</v>
      </c>
      <c r="N92" s="30" t="str">
        <f t="shared" si="12"/>
        <v>Non Juite</v>
      </c>
      <c r="O92" s="31" t="str">
        <f t="shared" si="13"/>
        <v>ILS</v>
      </c>
      <c r="P92" s="32" t="str">
        <f t="shared" si="14"/>
        <v>ILS</v>
      </c>
    </row>
    <row r="93" spans="1:16">
      <c r="A93">
        <v>91</v>
      </c>
      <c r="B93" s="42" t="s">
        <v>164</v>
      </c>
      <c r="C93" s="43" t="s">
        <v>71</v>
      </c>
      <c r="D93" s="43" t="s">
        <v>74</v>
      </c>
      <c r="E93" s="43">
        <v>19</v>
      </c>
      <c r="F93" s="43">
        <v>49</v>
      </c>
      <c r="G93" s="43">
        <v>41</v>
      </c>
      <c r="H93" s="43">
        <v>31</v>
      </c>
      <c r="I93" s="43">
        <f t="shared" si="0"/>
        <v>140</v>
      </c>
      <c r="J93" s="44" t="str">
        <f t="shared" si="8"/>
        <v>PASS</v>
      </c>
      <c r="K93" s="44" t="str">
        <f t="shared" si="9"/>
        <v>FAIL</v>
      </c>
      <c r="L93" s="28" t="str">
        <f t="shared" si="10"/>
        <v>NEEDS IMPROVEMENT</v>
      </c>
      <c r="M93" s="29" t="b">
        <f t="shared" si="11"/>
        <v>0</v>
      </c>
      <c r="N93" s="30" t="str">
        <f t="shared" si="12"/>
        <v>Non Juite</v>
      </c>
      <c r="O93" s="31" t="str">
        <f t="shared" si="13"/>
        <v>Non ils</v>
      </c>
      <c r="P93" s="32" t="str">
        <f t="shared" si="14"/>
        <v>Non ils</v>
      </c>
    </row>
    <row r="94" spans="1:16">
      <c r="A94">
        <v>92</v>
      </c>
      <c r="B94" s="42" t="s">
        <v>165</v>
      </c>
      <c r="C94" s="43" t="s">
        <v>71</v>
      </c>
      <c r="D94" s="43" t="s">
        <v>72</v>
      </c>
      <c r="E94" s="43">
        <v>59</v>
      </c>
      <c r="F94" s="43">
        <v>96</v>
      </c>
      <c r="G94" s="43">
        <v>57</v>
      </c>
      <c r="H94" s="43">
        <v>58</v>
      </c>
      <c r="I94" s="43">
        <f t="shared" si="0"/>
        <v>270</v>
      </c>
      <c r="J94" s="44" t="str">
        <f t="shared" si="8"/>
        <v>PASS</v>
      </c>
      <c r="K94" s="44" t="str">
        <f t="shared" si="9"/>
        <v>PASS</v>
      </c>
      <c r="L94" s="28" t="str">
        <f t="shared" si="10"/>
        <v>AVERAGE</v>
      </c>
      <c r="M94" s="29" t="b">
        <f t="shared" si="11"/>
        <v>0</v>
      </c>
      <c r="N94" s="30" t="str">
        <f t="shared" si="12"/>
        <v>Non Juite</v>
      </c>
      <c r="O94" s="31" t="str">
        <f t="shared" si="13"/>
        <v>Non ils</v>
      </c>
      <c r="P94" s="32" t="str">
        <f t="shared" si="14"/>
        <v>Non ils</v>
      </c>
    </row>
    <row r="95" spans="1:16">
      <c r="A95">
        <v>93</v>
      </c>
      <c r="B95" s="42" t="s">
        <v>166</v>
      </c>
      <c r="C95" s="43" t="s">
        <v>68</v>
      </c>
      <c r="D95" s="43" t="s">
        <v>72</v>
      </c>
      <c r="E95" s="43">
        <v>27</v>
      </c>
      <c r="F95" s="43">
        <v>30</v>
      </c>
      <c r="G95" s="43">
        <v>46</v>
      </c>
      <c r="H95" s="43">
        <v>61</v>
      </c>
      <c r="I95" s="43">
        <f t="shared" si="0"/>
        <v>164</v>
      </c>
      <c r="J95" s="44" t="str">
        <f t="shared" si="8"/>
        <v>PASS</v>
      </c>
      <c r="K95" s="44" t="str">
        <f t="shared" si="9"/>
        <v>FAIL</v>
      </c>
      <c r="L95" s="28" t="str">
        <f t="shared" si="10"/>
        <v>NEEDS IMPROVEMENT</v>
      </c>
      <c r="M95" s="29" t="b">
        <f t="shared" si="11"/>
        <v>0</v>
      </c>
      <c r="N95" s="30" t="str">
        <f t="shared" si="12"/>
        <v>Non Juite</v>
      </c>
      <c r="O95" s="31" t="str">
        <f t="shared" si="13"/>
        <v>ILS</v>
      </c>
      <c r="P95" s="32" t="str">
        <f t="shared" si="14"/>
        <v>ILS</v>
      </c>
    </row>
    <row r="96" spans="1:16">
      <c r="A96">
        <v>94</v>
      </c>
      <c r="B96" s="42" t="s">
        <v>167</v>
      </c>
      <c r="C96" s="43" t="s">
        <v>80</v>
      </c>
      <c r="D96" s="43" t="s">
        <v>74</v>
      </c>
      <c r="E96" s="43">
        <v>43</v>
      </c>
      <c r="F96" s="43">
        <v>93</v>
      </c>
      <c r="G96" s="43">
        <v>39</v>
      </c>
      <c r="H96" s="43">
        <v>66</v>
      </c>
      <c r="I96" s="43">
        <f t="shared" si="0"/>
        <v>241</v>
      </c>
      <c r="J96" s="44" t="str">
        <f t="shared" si="8"/>
        <v>PASS</v>
      </c>
      <c r="K96" s="44" t="str">
        <f t="shared" si="9"/>
        <v>PASS</v>
      </c>
      <c r="L96" s="28" t="str">
        <f t="shared" si="10"/>
        <v>AVERAGE</v>
      </c>
      <c r="M96" s="29" t="b">
        <f t="shared" si="11"/>
        <v>0</v>
      </c>
      <c r="N96" s="30" t="str">
        <f t="shared" si="12"/>
        <v>Non Juite</v>
      </c>
      <c r="O96" s="31" t="str">
        <f t="shared" si="13"/>
        <v>ILS</v>
      </c>
      <c r="P96" s="32" t="str">
        <f t="shared" si="14"/>
        <v>ILS</v>
      </c>
    </row>
    <row r="97" spans="1:16">
      <c r="A97">
        <v>95</v>
      </c>
      <c r="B97" s="42" t="s">
        <v>168</v>
      </c>
      <c r="C97" s="43" t="s">
        <v>68</v>
      </c>
      <c r="D97" s="43" t="s">
        <v>69</v>
      </c>
      <c r="E97" s="43">
        <v>23</v>
      </c>
      <c r="F97" s="43">
        <v>82</v>
      </c>
      <c r="G97" s="43">
        <v>96</v>
      </c>
      <c r="H97" s="43">
        <v>38</v>
      </c>
      <c r="I97" s="43">
        <f t="shared" si="0"/>
        <v>239</v>
      </c>
      <c r="J97" s="44" t="str">
        <f t="shared" si="8"/>
        <v>PASS</v>
      </c>
      <c r="K97" s="44" t="str">
        <f t="shared" si="9"/>
        <v>FAIL</v>
      </c>
      <c r="L97" s="28" t="str">
        <f t="shared" si="10"/>
        <v>AVERAGE</v>
      </c>
      <c r="M97" s="29" t="b">
        <f t="shared" si="11"/>
        <v>0</v>
      </c>
      <c r="N97" s="30" t="str">
        <f t="shared" si="12"/>
        <v>Non Juite</v>
      </c>
      <c r="O97" s="31" t="str">
        <f t="shared" si="13"/>
        <v>ILS</v>
      </c>
      <c r="P97" s="32" t="str">
        <f t="shared" si="14"/>
        <v>ILS</v>
      </c>
    </row>
    <row r="98" spans="1:16">
      <c r="A98">
        <v>96</v>
      </c>
      <c r="B98" s="42" t="s">
        <v>169</v>
      </c>
      <c r="C98" s="43" t="s">
        <v>71</v>
      </c>
      <c r="D98" s="43" t="s">
        <v>78</v>
      </c>
      <c r="E98" s="43">
        <v>95</v>
      </c>
      <c r="F98" s="43">
        <v>73</v>
      </c>
      <c r="G98" s="43">
        <v>100</v>
      </c>
      <c r="H98" s="43">
        <v>82</v>
      </c>
      <c r="I98" s="43">
        <f t="shared" si="0"/>
        <v>350</v>
      </c>
      <c r="J98" s="44" t="str">
        <f t="shared" si="8"/>
        <v>PASS</v>
      </c>
      <c r="K98" s="44" t="str">
        <f t="shared" si="9"/>
        <v>PASS</v>
      </c>
      <c r="L98" s="28" t="str">
        <f t="shared" si="10"/>
        <v>EXCELLENT</v>
      </c>
      <c r="M98" s="29" t="b">
        <f t="shared" si="11"/>
        <v>1</v>
      </c>
      <c r="N98" s="30" t="str">
        <f t="shared" si="12"/>
        <v xml:space="preserve"> Juite</v>
      </c>
      <c r="O98" s="31" t="str">
        <f t="shared" si="13"/>
        <v>Non ils</v>
      </c>
      <c r="P98" s="32" t="str">
        <f t="shared" si="14"/>
        <v>Non ils</v>
      </c>
    </row>
    <row r="99" spans="1:16">
      <c r="A99">
        <v>97</v>
      </c>
      <c r="B99" s="42" t="s">
        <v>170</v>
      </c>
      <c r="C99" s="43" t="s">
        <v>68</v>
      </c>
      <c r="D99" s="43" t="s">
        <v>69</v>
      </c>
      <c r="E99" s="43">
        <v>15</v>
      </c>
      <c r="F99" s="43">
        <v>29</v>
      </c>
      <c r="G99" s="43">
        <v>30</v>
      </c>
      <c r="H99" s="43">
        <v>26</v>
      </c>
      <c r="I99" s="43">
        <f t="shared" si="0"/>
        <v>100</v>
      </c>
      <c r="J99" s="44" t="str">
        <f t="shared" si="8"/>
        <v>FAIL</v>
      </c>
      <c r="K99" s="44" t="str">
        <f t="shared" si="9"/>
        <v>FAIL</v>
      </c>
      <c r="L99" s="28" t="str">
        <f t="shared" si="10"/>
        <v>NEEDS IMPROVEMENT</v>
      </c>
      <c r="M99" s="29" t="b">
        <f t="shared" si="11"/>
        <v>0</v>
      </c>
      <c r="N99" s="30" t="str">
        <f t="shared" si="12"/>
        <v>Non Juite</v>
      </c>
      <c r="O99" s="31" t="str">
        <f t="shared" si="13"/>
        <v>ILS</v>
      </c>
      <c r="P99" s="32" t="str">
        <f t="shared" si="14"/>
        <v>ILS</v>
      </c>
    </row>
    <row r="100" spans="1:16">
      <c r="A100">
        <v>98</v>
      </c>
      <c r="B100" s="42" t="s">
        <v>171</v>
      </c>
      <c r="C100" s="43" t="s">
        <v>68</v>
      </c>
      <c r="D100" s="43" t="s">
        <v>74</v>
      </c>
      <c r="E100" s="43">
        <v>16</v>
      </c>
      <c r="F100" s="43">
        <v>77</v>
      </c>
      <c r="G100" s="43">
        <v>55</v>
      </c>
      <c r="H100" s="43">
        <v>46</v>
      </c>
      <c r="I100" s="43">
        <f t="shared" si="0"/>
        <v>194</v>
      </c>
      <c r="J100" s="44" t="str">
        <f t="shared" si="8"/>
        <v>PASS</v>
      </c>
      <c r="K100" s="44" t="str">
        <f t="shared" si="9"/>
        <v>FAIL</v>
      </c>
      <c r="L100" s="28" t="str">
        <f t="shared" si="10"/>
        <v>NEEDS IMPROVEMENT</v>
      </c>
      <c r="M100" s="29" t="b">
        <f t="shared" si="11"/>
        <v>0</v>
      </c>
      <c r="N100" s="30" t="str">
        <f t="shared" si="12"/>
        <v>Non Juite</v>
      </c>
      <c r="O100" s="31" t="str">
        <f t="shared" si="13"/>
        <v>ILS</v>
      </c>
      <c r="P100" s="32" t="str">
        <f t="shared" si="14"/>
        <v>ILS</v>
      </c>
    </row>
    <row r="101" spans="1:16">
      <c r="A101">
        <v>99</v>
      </c>
      <c r="B101" s="42" t="s">
        <v>172</v>
      </c>
      <c r="C101" s="43" t="s">
        <v>80</v>
      </c>
      <c r="D101" s="43" t="s">
        <v>78</v>
      </c>
      <c r="E101" s="43">
        <v>93</v>
      </c>
      <c r="F101" s="43">
        <v>53</v>
      </c>
      <c r="G101" s="43">
        <v>58</v>
      </c>
      <c r="H101" s="43">
        <v>60</v>
      </c>
      <c r="I101" s="43">
        <f t="shared" si="0"/>
        <v>264</v>
      </c>
      <c r="J101" s="44" t="str">
        <f t="shared" si="8"/>
        <v>PASS</v>
      </c>
      <c r="K101" s="44" t="str">
        <f t="shared" si="9"/>
        <v>PASS</v>
      </c>
      <c r="L101" s="28" t="str">
        <f t="shared" si="10"/>
        <v>AVERAGE</v>
      </c>
      <c r="M101" s="29" t="b">
        <f t="shared" si="11"/>
        <v>0</v>
      </c>
      <c r="N101" s="30" t="str">
        <f t="shared" si="12"/>
        <v>Non Juite</v>
      </c>
      <c r="O101" s="31" t="str">
        <f t="shared" si="13"/>
        <v>ILS</v>
      </c>
      <c r="P101" s="32" t="str">
        <f t="shared" si="14"/>
        <v>ILS</v>
      </c>
    </row>
    <row r="102" spans="1:16">
      <c r="A102">
        <v>100</v>
      </c>
      <c r="B102" s="42" t="s">
        <v>173</v>
      </c>
      <c r="C102" s="43" t="s">
        <v>71</v>
      </c>
      <c r="D102" s="43" t="s">
        <v>69</v>
      </c>
      <c r="E102" s="43">
        <v>42</v>
      </c>
      <c r="F102" s="43">
        <v>75</v>
      </c>
      <c r="G102" s="43">
        <v>40</v>
      </c>
      <c r="H102" s="43">
        <v>40</v>
      </c>
      <c r="I102" s="43">
        <f t="shared" si="0"/>
        <v>197</v>
      </c>
      <c r="J102" s="44" t="str">
        <f t="shared" si="8"/>
        <v>PASS</v>
      </c>
      <c r="K102" s="44" t="str">
        <f t="shared" si="9"/>
        <v>PASS</v>
      </c>
      <c r="L102" s="28" t="str">
        <f t="shared" si="10"/>
        <v>NEEDS IMPROVEMENT</v>
      </c>
      <c r="M102" s="29" t="b">
        <f t="shared" si="11"/>
        <v>0</v>
      </c>
      <c r="N102" s="30" t="str">
        <f t="shared" si="12"/>
        <v>Non Juite</v>
      </c>
      <c r="O102" s="31" t="str">
        <f t="shared" si="13"/>
        <v>Non ils</v>
      </c>
      <c r="P102" s="32" t="str">
        <f t="shared" si="14"/>
        <v>Non ils</v>
      </c>
    </row>
  </sheetData>
  <mergeCells count="5">
    <mergeCell ref="E1:E2"/>
    <mergeCell ref="F1:F2"/>
    <mergeCell ref="G1:G2"/>
    <mergeCell ref="H1:H2"/>
    <mergeCell ref="J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2C31-C7CB-44B5-A95A-DE479B42DE7A}">
  <dimension ref="A2:G25"/>
  <sheetViews>
    <sheetView topLeftCell="A8" workbookViewId="0">
      <selection activeCell="F23" sqref="F23"/>
    </sheetView>
  </sheetViews>
  <sheetFormatPr defaultRowHeight="15"/>
  <cols>
    <col min="1" max="1" width="19.5703125" bestFit="1" customWidth="1"/>
    <col min="2" max="2" width="22" bestFit="1" customWidth="1"/>
    <col min="3" max="3" width="19" bestFit="1" customWidth="1"/>
    <col min="4" max="4" width="19.5703125" bestFit="1" customWidth="1"/>
    <col min="5" max="5" width="14.7109375" bestFit="1" customWidth="1"/>
    <col min="6" max="7" width="17.140625" bestFit="1" customWidth="1"/>
  </cols>
  <sheetData>
    <row r="2" spans="1:7">
      <c r="A2" s="45" t="s">
        <v>174</v>
      </c>
      <c r="B2" s="46" t="s">
        <v>175</v>
      </c>
      <c r="C2" s="46" t="s">
        <v>176</v>
      </c>
      <c r="D2" s="46" t="s">
        <v>177</v>
      </c>
      <c r="E2" s="46" t="s">
        <v>178</v>
      </c>
      <c r="F2" s="46" t="s">
        <v>179</v>
      </c>
      <c r="G2" s="47" t="s">
        <v>180</v>
      </c>
    </row>
    <row r="3" spans="1:7" ht="15.75">
      <c r="A3" s="48" t="s">
        <v>181</v>
      </c>
      <c r="B3" s="48" t="str">
        <f>UPPER(Table_3[Employee Names])</f>
        <v xml:space="preserve">       RAHUL    SHAH  </v>
      </c>
      <c r="C3" s="48" t="str">
        <f>LOWER(Table_3[Employee Names])</f>
        <v xml:space="preserve">       rahul    shah  </v>
      </c>
      <c r="D3" s="48" t="str">
        <f>PROPER(Table_3[Employee Names])</f>
        <v xml:space="preserve">       Rahul    Shah  </v>
      </c>
      <c r="E3" s="48" t="str">
        <f>TRIM(Table_3[Employee Names])</f>
        <v>raHul sHah</v>
      </c>
      <c r="F3" s="48" t="str">
        <f>PROPER(TRIM(Table_3[Employee Names]))</f>
        <v>Rahul Shah</v>
      </c>
      <c r="G3" s="49" t="str">
        <f t="shared" ref="G3:G12" si="0">TRIM(PROPER(A3:A11))</f>
        <v>Rahul Shah</v>
      </c>
    </row>
    <row r="4" spans="1:7" ht="15.75">
      <c r="A4" s="48" t="s">
        <v>182</v>
      </c>
      <c r="B4" s="48" t="str">
        <f>UPPER(Table_3[Employee Names])</f>
        <v>PAYAL MEHTA</v>
      </c>
      <c r="C4" s="48" t="str">
        <f>LOWER(Table_3[Employee Names])</f>
        <v>payal mehta</v>
      </c>
      <c r="D4" s="48" t="str">
        <f>PROPER(Table_3[Employee Names])</f>
        <v>Payal Mehta</v>
      </c>
      <c r="E4" s="48" t="str">
        <f>TRIM(Table_3[Employee Names])</f>
        <v>Payal MEHta</v>
      </c>
      <c r="F4" s="48" t="str">
        <f>PROPER(TRIM(Table_3[Employee Names]))</f>
        <v>Payal Mehta</v>
      </c>
      <c r="G4" s="49" t="str">
        <f t="shared" si="0"/>
        <v>Payal Mehta</v>
      </c>
    </row>
    <row r="5" spans="1:7" ht="15.75">
      <c r="A5" s="48" t="s">
        <v>183</v>
      </c>
      <c r="B5" s="48" t="str">
        <f>UPPER(Table_3[Employee Names])</f>
        <v>RITA SHAH</v>
      </c>
      <c r="C5" s="48" t="str">
        <f>LOWER(Table_3[Employee Names])</f>
        <v>rita shah</v>
      </c>
      <c r="D5" s="48" t="str">
        <f>PROPER(Table_3[Employee Names])</f>
        <v>Rita Shah</v>
      </c>
      <c r="E5" s="48" t="str">
        <f>TRIM(Table_3[Employee Names])</f>
        <v>Rita ShaH</v>
      </c>
      <c r="F5" s="48" t="str">
        <f>PROPER(TRIM(Table_3[Employee Names]))</f>
        <v>Rita Shah</v>
      </c>
      <c r="G5" s="49" t="str">
        <f t="shared" si="0"/>
        <v>Rita Shah</v>
      </c>
    </row>
    <row r="6" spans="1:7" ht="15.75">
      <c r="A6" s="48" t="s">
        <v>184</v>
      </c>
      <c r="B6" s="48" t="str">
        <f>UPPER(Table_3[Employee Names])</f>
        <v>NEHA MISHRA</v>
      </c>
      <c r="C6" s="48" t="str">
        <f>LOWER(Table_3[Employee Names])</f>
        <v>neha mishra</v>
      </c>
      <c r="D6" s="48" t="str">
        <f>PROPER(Table_3[Employee Names])</f>
        <v>Neha Mishra</v>
      </c>
      <c r="E6" s="48" t="str">
        <f>TRIM(Table_3[Employee Names])</f>
        <v>Neha Mishra</v>
      </c>
      <c r="F6" s="48" t="str">
        <f>PROPER(TRIM(Table_3[Employee Names]))</f>
        <v>Neha Mishra</v>
      </c>
      <c r="G6" s="49" t="str">
        <f t="shared" si="0"/>
        <v>Neha Mishra</v>
      </c>
    </row>
    <row r="7" spans="1:7" ht="15.75">
      <c r="A7" s="48" t="s">
        <v>185</v>
      </c>
      <c r="B7" s="48" t="str">
        <f>UPPER(Table_3[Employee Names])</f>
        <v xml:space="preserve">  TANVI SHARMA</v>
      </c>
      <c r="C7" s="48" t="str">
        <f>LOWER(Table_3[Employee Names])</f>
        <v xml:space="preserve">  tanvi sharma</v>
      </c>
      <c r="D7" s="48" t="str">
        <f>PROPER(Table_3[Employee Names])</f>
        <v xml:space="preserve">  Tanvi Sharma</v>
      </c>
      <c r="E7" s="48" t="str">
        <f>TRIM(Table_3[Employee Names])</f>
        <v>tanVi Sharma</v>
      </c>
      <c r="F7" s="48" t="str">
        <f>PROPER(TRIM(Table_3[Employee Names]))</f>
        <v>Tanvi Sharma</v>
      </c>
      <c r="G7" s="49" t="str">
        <f t="shared" si="0"/>
        <v>Tanvi Sharma</v>
      </c>
    </row>
    <row r="8" spans="1:7" ht="15.75">
      <c r="A8" s="48" t="s">
        <v>186</v>
      </c>
      <c r="B8" s="48" t="str">
        <f>UPPER(Table_3[Employee Names])</f>
        <v>KANCI NAGORI</v>
      </c>
      <c r="C8" s="48" t="str">
        <f>LOWER(Table_3[Employee Names])</f>
        <v>kanci nagori</v>
      </c>
      <c r="D8" s="48" t="str">
        <f>PROPER(Table_3[Employee Names])</f>
        <v>Kanci Nagori</v>
      </c>
      <c r="E8" s="48" t="str">
        <f>TRIM(Table_3[Employee Names])</f>
        <v>kanci NagoRI</v>
      </c>
      <c r="F8" s="48" t="str">
        <f>PROPER(TRIM(Table_3[Employee Names]))</f>
        <v>Kanci Nagori</v>
      </c>
      <c r="G8" s="49" t="str">
        <f t="shared" si="0"/>
        <v>Kanci Nagori</v>
      </c>
    </row>
    <row r="9" spans="1:7" ht="15.75">
      <c r="A9" s="48" t="s">
        <v>187</v>
      </c>
      <c r="B9" s="48" t="str">
        <f>UPPER(Table_3[Employee Names])</f>
        <v>RAHUL  SHAH</v>
      </c>
      <c r="C9" s="48" t="str">
        <f>LOWER(Table_3[Employee Names])</f>
        <v>rahul  shah</v>
      </c>
      <c r="D9" s="48" t="str">
        <f>PROPER(Table_3[Employee Names])</f>
        <v>Rahul  Shah</v>
      </c>
      <c r="E9" s="48" t="str">
        <f>TRIM(Table_3[Employee Names])</f>
        <v>RahUl ShAh</v>
      </c>
      <c r="F9" s="48" t="str">
        <f>PROPER(TRIM(Table_3[Employee Names]))</f>
        <v>Rahul Shah</v>
      </c>
      <c r="G9" s="49" t="str">
        <f t="shared" si="0"/>
        <v>Rahul Shah</v>
      </c>
    </row>
    <row r="10" spans="1:7" ht="15.75">
      <c r="A10" s="48" t="s">
        <v>188</v>
      </c>
      <c r="B10" s="48" t="str">
        <f>UPPER(Table_3[Employee Names])</f>
        <v>PAYAL MEHTA</v>
      </c>
      <c r="C10" s="48" t="str">
        <f>LOWER(Table_3[Employee Names])</f>
        <v>payal mehta</v>
      </c>
      <c r="D10" s="48" t="str">
        <f>PROPER(Table_3[Employee Names])</f>
        <v>Payal Mehta</v>
      </c>
      <c r="E10" s="48" t="str">
        <f>TRIM(Table_3[Employee Names])</f>
        <v>PaYal mehta</v>
      </c>
      <c r="F10" s="48" t="str">
        <f>PROPER(TRIM(Table_3[Employee Names]))</f>
        <v>Payal Mehta</v>
      </c>
      <c r="G10" s="49" t="str">
        <f t="shared" si="0"/>
        <v>Payal Mehta</v>
      </c>
    </row>
    <row r="11" spans="1:7" ht="15.75">
      <c r="A11" s="48" t="s">
        <v>189</v>
      </c>
      <c r="B11" s="48" t="str">
        <f>UPPER(Table_3[Employee Names])</f>
        <v>RITA MISHRA</v>
      </c>
      <c r="C11" s="48" t="str">
        <f>LOWER(Table_3[Employee Names])</f>
        <v>rita mishra</v>
      </c>
      <c r="D11" s="48" t="str">
        <f>PROPER(Table_3[Employee Names])</f>
        <v>Rita Mishra</v>
      </c>
      <c r="E11" s="48" t="str">
        <f>TRIM(Table_3[Employee Names])</f>
        <v>RitA Mishra</v>
      </c>
      <c r="F11" s="48" t="str">
        <f>PROPER(TRIM(Table_3[Employee Names]))</f>
        <v>Rita Mishra</v>
      </c>
      <c r="G11" s="49" t="str">
        <f t="shared" si="0"/>
        <v>Rita Mishra</v>
      </c>
    </row>
    <row r="12" spans="1:7" ht="15.75">
      <c r="A12" s="48" t="s">
        <v>190</v>
      </c>
      <c r="B12" s="48" t="str">
        <f>UPPER(Table_3[Employee Names])</f>
        <v>NEHA   MISHRA</v>
      </c>
      <c r="C12" s="48" t="str">
        <f>LOWER(Table_3[Employee Names])</f>
        <v>neha   mishra</v>
      </c>
      <c r="D12" s="48" t="str">
        <f>PROPER(Table_3[Employee Names])</f>
        <v>Neha   Mishra</v>
      </c>
      <c r="E12" s="48" t="str">
        <f>TRIM(Table_3[Employee Names])</f>
        <v>neha mishra</v>
      </c>
      <c r="F12" s="48" t="str">
        <f>PROPER(TRIM(Table_3[Employee Names]))</f>
        <v>Neha Mishra</v>
      </c>
      <c r="G12" s="49" t="str">
        <f t="shared" si="0"/>
        <v>Neha Mishra</v>
      </c>
    </row>
    <row r="14" spans="1:7">
      <c r="B14" s="18" t="s">
        <v>191</v>
      </c>
      <c r="C14" s="18" t="s">
        <v>192</v>
      </c>
      <c r="D14" s="18" t="s">
        <v>193</v>
      </c>
    </row>
    <row r="15" spans="1:7">
      <c r="B15" s="50">
        <f ca="1">TODAY()</f>
        <v>46197</v>
      </c>
      <c r="C15" t="str">
        <f ca="1">TEXT(NOW(),"H:MM")</f>
        <v>21:10</v>
      </c>
      <c r="D15" t="str">
        <f ca="1">TEXT(B15,"MMMM DD, YYYY")</f>
        <v>June 24, 2026</v>
      </c>
    </row>
    <row r="16" spans="1:7">
      <c r="B16" s="13" t="str">
        <f ca="1">TEXT(TODAY(),"dd.mm.yy")</f>
        <v>24.06.26</v>
      </c>
      <c r="C16" t="str">
        <f ca="1">TEXT(NOW(),"H:MM AM/PM")</f>
        <v>9:10 PM</v>
      </c>
    </row>
    <row r="17" spans="2:3">
      <c r="C17" t="str">
        <f ca="1">TEXT(TODAY(),"DDDD")</f>
        <v>Wednesday</v>
      </c>
    </row>
    <row r="18" spans="2:3">
      <c r="B18" s="18" t="s">
        <v>194</v>
      </c>
    </row>
    <row r="19" spans="2:3">
      <c r="B19" t="s">
        <v>195</v>
      </c>
    </row>
    <row r="20" spans="2:3">
      <c r="B20">
        <f>LEN(B19)</f>
        <v>7</v>
      </c>
    </row>
    <row r="21" spans="2:3">
      <c r="B21" s="18" t="s">
        <v>196</v>
      </c>
      <c r="C21">
        <f>FIND("ber", B21)</f>
        <v>3</v>
      </c>
    </row>
    <row r="22" spans="2:3">
      <c r="C22">
        <f>FIND("b",B21)</f>
        <v>3</v>
      </c>
    </row>
    <row r="23" spans="2:3">
      <c r="C23">
        <f>FIND("e",B21)</f>
        <v>4</v>
      </c>
    </row>
    <row r="24" spans="2:3">
      <c r="C24">
        <f>FIND("e",B21,5)</f>
        <v>13</v>
      </c>
    </row>
    <row r="25" spans="2:3">
      <c r="C25">
        <f>FIND("E",B21)</f>
        <v>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5BDEC-495C-4B14-B83D-9EE13D22830A}">
  <dimension ref="B1:T24"/>
  <sheetViews>
    <sheetView zoomScale="81" workbookViewId="0">
      <selection activeCell="O25" sqref="O25"/>
    </sheetView>
  </sheetViews>
  <sheetFormatPr defaultRowHeight="15"/>
  <cols>
    <col min="4" max="4" width="13.28515625" bestFit="1" customWidth="1"/>
    <col min="14" max="14" width="18.85546875" bestFit="1" customWidth="1"/>
    <col min="15" max="18" width="11" bestFit="1" customWidth="1"/>
    <col min="19" max="19" width="20.140625" bestFit="1" customWidth="1"/>
  </cols>
  <sheetData>
    <row r="1" spans="2:20" ht="15.75" thickBot="1">
      <c r="R1">
        <v>2</v>
      </c>
    </row>
    <row r="2" spans="2:20" ht="15.75">
      <c r="B2" s="51" t="s">
        <v>197</v>
      </c>
      <c r="D2" t="s">
        <v>200</v>
      </c>
      <c r="F2" s="52" t="s">
        <v>203</v>
      </c>
      <c r="G2" s="52" t="s">
        <v>204</v>
      </c>
      <c r="H2" s="52" t="s">
        <v>205</v>
      </c>
      <c r="L2" s="55" t="s">
        <v>203</v>
      </c>
      <c r="M2" s="56" t="s">
        <v>204</v>
      </c>
      <c r="N2" s="57" t="s">
        <v>205</v>
      </c>
      <c r="S2" s="69" t="s">
        <v>222</v>
      </c>
      <c r="T2" s="70">
        <v>20</v>
      </c>
    </row>
    <row r="3" spans="2:20" ht="15.75">
      <c r="B3" s="48">
        <v>1</v>
      </c>
      <c r="D3">
        <f>COUNTA(B3:B11)</f>
        <v>7</v>
      </c>
      <c r="F3" s="53" t="s">
        <v>206</v>
      </c>
      <c r="G3" s="53" t="s">
        <v>207</v>
      </c>
      <c r="H3" s="53">
        <v>80</v>
      </c>
      <c r="L3" s="58" t="s">
        <v>206</v>
      </c>
      <c r="M3" s="59" t="s">
        <v>207</v>
      </c>
      <c r="N3" s="60">
        <v>80</v>
      </c>
      <c r="S3" s="71" t="s">
        <v>223</v>
      </c>
      <c r="T3" s="72">
        <v>25</v>
      </c>
    </row>
    <row r="4" spans="2:20" ht="15.75">
      <c r="B4" s="48">
        <v>2</v>
      </c>
      <c r="F4" s="53" t="s">
        <v>208</v>
      </c>
      <c r="G4" s="53" t="s">
        <v>209</v>
      </c>
      <c r="H4" s="53">
        <v>50</v>
      </c>
      <c r="L4" s="61" t="s">
        <v>208</v>
      </c>
      <c r="M4" s="62" t="s">
        <v>209</v>
      </c>
      <c r="N4" s="63">
        <v>50</v>
      </c>
      <c r="S4" s="71" t="s">
        <v>224</v>
      </c>
      <c r="T4" s="72">
        <v>15</v>
      </c>
    </row>
    <row r="5" spans="2:20" ht="15.75">
      <c r="B5" s="48">
        <v>3</v>
      </c>
      <c r="D5" t="s">
        <v>201</v>
      </c>
      <c r="F5" s="53" t="s">
        <v>206</v>
      </c>
      <c r="G5" s="53" t="s">
        <v>210</v>
      </c>
      <c r="H5" s="53">
        <v>80</v>
      </c>
      <c r="L5" s="58" t="s">
        <v>206</v>
      </c>
      <c r="M5" s="59" t="s">
        <v>210</v>
      </c>
      <c r="N5" s="60">
        <v>80</v>
      </c>
      <c r="S5" s="71" t="s">
        <v>225</v>
      </c>
      <c r="T5" s="72">
        <v>15</v>
      </c>
    </row>
    <row r="6" spans="2:20" ht="15.75">
      <c r="B6" s="48" t="s">
        <v>198</v>
      </c>
      <c r="D6">
        <f>COUNT(B3:B11)</f>
        <v>5</v>
      </c>
      <c r="F6" s="53" t="s">
        <v>211</v>
      </c>
      <c r="G6" s="53" t="s">
        <v>212</v>
      </c>
      <c r="H6" s="53">
        <v>150</v>
      </c>
      <c r="L6" s="61" t="s">
        <v>211</v>
      </c>
      <c r="M6" s="62" t="s">
        <v>212</v>
      </c>
      <c r="N6" s="63">
        <v>150</v>
      </c>
      <c r="S6" s="71" t="s">
        <v>226</v>
      </c>
      <c r="T6" s="72">
        <v>16</v>
      </c>
    </row>
    <row r="7" spans="2:20" ht="15.75">
      <c r="B7" s="48"/>
      <c r="F7" s="53" t="s">
        <v>211</v>
      </c>
      <c r="G7" s="53" t="s">
        <v>207</v>
      </c>
      <c r="H7" s="53">
        <v>300</v>
      </c>
      <c r="L7" s="58" t="s">
        <v>211</v>
      </c>
      <c r="M7" s="59" t="s">
        <v>207</v>
      </c>
      <c r="N7" s="60">
        <v>300</v>
      </c>
    </row>
    <row r="8" spans="2:20" ht="15.75">
      <c r="B8" s="48">
        <v>4</v>
      </c>
      <c r="D8" t="s">
        <v>202</v>
      </c>
      <c r="F8" s="53" t="s">
        <v>213</v>
      </c>
      <c r="G8" s="53" t="s">
        <v>214</v>
      </c>
      <c r="H8" s="53">
        <v>50</v>
      </c>
      <c r="L8" s="61" t="s">
        <v>213</v>
      </c>
      <c r="M8" s="62" t="s">
        <v>214</v>
      </c>
      <c r="N8" s="63">
        <v>50</v>
      </c>
      <c r="S8" s="73" t="s">
        <v>227</v>
      </c>
      <c r="T8" t="s">
        <v>229</v>
      </c>
    </row>
    <row r="9" spans="2:20" ht="15.75">
      <c r="B9" s="48" t="s">
        <v>199</v>
      </c>
      <c r="D9">
        <f>COUNTBLANK(B3:B11)</f>
        <v>2</v>
      </c>
      <c r="F9" s="53" t="s">
        <v>208</v>
      </c>
      <c r="G9" s="53" t="s">
        <v>215</v>
      </c>
      <c r="H9" s="53">
        <v>200</v>
      </c>
      <c r="L9" s="58" t="s">
        <v>208</v>
      </c>
      <c r="M9" s="59" t="s">
        <v>215</v>
      </c>
      <c r="N9" s="60">
        <v>200</v>
      </c>
      <c r="S9" s="73" t="s">
        <v>228</v>
      </c>
      <c r="T9">
        <f>VLOOKUP(S5,S2:T5,R1,0)</f>
        <v>15</v>
      </c>
    </row>
    <row r="10" spans="2:20" ht="15.75">
      <c r="B10" s="48"/>
      <c r="F10" s="53" t="s">
        <v>208</v>
      </c>
      <c r="G10" s="53" t="s">
        <v>212</v>
      </c>
      <c r="H10" s="53">
        <v>100</v>
      </c>
      <c r="L10" s="61" t="s">
        <v>208</v>
      </c>
      <c r="M10" s="62" t="s">
        <v>212</v>
      </c>
      <c r="N10" s="63">
        <v>100</v>
      </c>
    </row>
    <row r="11" spans="2:20" ht="16.5" thickBot="1">
      <c r="B11" s="48">
        <v>5</v>
      </c>
      <c r="F11" s="54" t="s">
        <v>21</v>
      </c>
      <c r="G11" s="54" t="s">
        <v>209</v>
      </c>
      <c r="H11" s="54">
        <v>250</v>
      </c>
      <c r="L11" s="64" t="s">
        <v>21</v>
      </c>
      <c r="M11" s="65" t="s">
        <v>209</v>
      </c>
      <c r="N11" s="66">
        <v>250</v>
      </c>
    </row>
    <row r="13" spans="2:20" ht="15.75">
      <c r="F13" s="18" t="s">
        <v>216</v>
      </c>
      <c r="G13" s="18"/>
      <c r="H13" s="18"/>
      <c r="I13" s="18"/>
      <c r="J13">
        <f>COUNTIF(Table_1[[#All],[Item]],"B")</f>
        <v>2</v>
      </c>
      <c r="L13" s="80" t="s">
        <v>219</v>
      </c>
      <c r="M13" s="81"/>
      <c r="N13" s="81"/>
      <c r="O13" s="81"/>
      <c r="Q13">
        <f>SUMIF(L2:L11,"B",N2:N11)</f>
        <v>160</v>
      </c>
    </row>
    <row r="15" spans="2:20">
      <c r="F15" s="18" t="s">
        <v>217</v>
      </c>
      <c r="G15" s="18"/>
      <c r="H15" s="18"/>
      <c r="I15" s="18"/>
      <c r="J15">
        <f>COUNTIF(Table_1[[#All],[Item]],"T")</f>
        <v>3</v>
      </c>
      <c r="L15" s="67" t="s">
        <v>220</v>
      </c>
      <c r="M15" s="67"/>
      <c r="N15" s="67"/>
      <c r="Q15">
        <f>SUMIF(L2:L11,"T",N2:N11)</f>
        <v>350</v>
      </c>
    </row>
    <row r="17" spans="6:18">
      <c r="F17" s="18" t="s">
        <v>218</v>
      </c>
      <c r="G17" s="18"/>
      <c r="H17" s="18"/>
      <c r="I17" s="18"/>
      <c r="J17">
        <f>COUNTIF(Table_1[[#All],[Cost]],"&gt;=100")</f>
        <v>5</v>
      </c>
      <c r="L17" s="67" t="s">
        <v>221</v>
      </c>
      <c r="M17" s="67"/>
      <c r="N17" s="67"/>
      <c r="O17" s="67"/>
      <c r="Q17">
        <f>COUNTIF(N2:N11,"&gt;=100")</f>
        <v>5</v>
      </c>
    </row>
    <row r="20" spans="6:18" ht="15.75">
      <c r="N20" s="68" t="s">
        <v>222</v>
      </c>
      <c r="O20" s="68" t="s">
        <v>223</v>
      </c>
      <c r="P20" s="68" t="s">
        <v>224</v>
      </c>
      <c r="Q20" s="68" t="s">
        <v>225</v>
      </c>
      <c r="R20" s="68" t="s">
        <v>226</v>
      </c>
    </row>
    <row r="21" spans="6:18" ht="15.75">
      <c r="N21" s="74">
        <v>20</v>
      </c>
      <c r="O21" s="74">
        <v>25</v>
      </c>
      <c r="P21" s="74">
        <v>15</v>
      </c>
      <c r="Q21" s="74">
        <v>15</v>
      </c>
      <c r="R21" s="74">
        <v>16</v>
      </c>
    </row>
    <row r="23" spans="6:18">
      <c r="N23" t="s">
        <v>230</v>
      </c>
      <c r="O23" t="s">
        <v>231</v>
      </c>
    </row>
    <row r="24" spans="6:18">
      <c r="N24" t="s">
        <v>229</v>
      </c>
      <c r="O24">
        <f>HLOOKUP(O20,N20:R21,2,0)</f>
        <v>25</v>
      </c>
    </row>
  </sheetData>
  <mergeCells count="1">
    <mergeCell ref="L13:O13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74B4-4958-496C-8077-ACCE678BB4C5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Mean</vt:lpstr>
      <vt:lpstr>Median</vt:lpstr>
      <vt:lpstr>Mode</vt:lpstr>
      <vt:lpstr>Variance and SD</vt:lpstr>
      <vt:lpstr>5 Point Summary</vt:lpstr>
      <vt:lpstr>Functions </vt:lpstr>
      <vt:lpstr>TEXT FUNCTIONS</vt:lpstr>
      <vt:lpstr>Summarizing functions</vt:lpstr>
      <vt:lpstr>Sheet5</vt:lpstr>
      <vt:lpstr>Audit_Time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PRITI RAJAK</dc:creator>
  <cp:lastModifiedBy>suparnaghosalnandi@outlook.com</cp:lastModifiedBy>
  <dcterms:created xsi:type="dcterms:W3CDTF">2025-07-31T02:53:01Z</dcterms:created>
  <dcterms:modified xsi:type="dcterms:W3CDTF">2026-06-24T15:41:05Z</dcterms:modified>
</cp:coreProperties>
</file>